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Termite_sol_prop\all_for_analysis\data_raw\"/>
    </mc:Choice>
  </mc:AlternateContent>
  <xr:revisionPtr revIDLastSave="0" documentId="13_ncr:1_{9F2142E4-D63E-4A0F-823F-A8EECFA2649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ll_data" sheetId="1" r:id="rId1"/>
    <sheet name="entire_colony" sheetId="3" r:id="rId2"/>
    <sheet name="all_excluded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</calcChain>
</file>

<file path=xl/sharedStrings.xml><?xml version="1.0" encoding="utf-8"?>
<sst xmlns="http://schemas.openxmlformats.org/spreadsheetml/2006/main" count="785" uniqueCount="162">
  <si>
    <t>Family</t>
  </si>
  <si>
    <t>Sub.Family</t>
  </si>
  <si>
    <t>Genus</t>
  </si>
  <si>
    <t>Nesting</t>
    <phoneticPr fontId="3"/>
  </si>
  <si>
    <t>Archotermopsidae</t>
    <phoneticPr fontId="5"/>
  </si>
  <si>
    <t>Archotermopsis</t>
    <phoneticPr fontId="5"/>
  </si>
  <si>
    <t>OP</t>
    <phoneticPr fontId="3"/>
  </si>
  <si>
    <t>Soldier_str</t>
    <phoneticPr fontId="3"/>
  </si>
  <si>
    <t>Zootermopsis</t>
    <phoneticPr fontId="5"/>
  </si>
  <si>
    <t>Hodotermitidae</t>
    <phoneticPr fontId="5"/>
  </si>
  <si>
    <t>Anacanthotermes</t>
    <phoneticPr fontId="5"/>
  </si>
  <si>
    <t>CP</t>
    <phoneticPr fontId="3"/>
  </si>
  <si>
    <t>Hodotermes</t>
    <phoneticPr fontId="3"/>
  </si>
  <si>
    <t>Kalotermitidae</t>
    <phoneticPr fontId="5"/>
  </si>
  <si>
    <t>Calcaritermes</t>
    <phoneticPr fontId="5"/>
  </si>
  <si>
    <t>Cryptotermes</t>
    <phoneticPr fontId="3"/>
  </si>
  <si>
    <t>Glyptotermes</t>
    <phoneticPr fontId="5"/>
  </si>
  <si>
    <t>Incisitermes</t>
    <phoneticPr fontId="3"/>
  </si>
  <si>
    <t>Kalotermes</t>
    <phoneticPr fontId="3"/>
  </si>
  <si>
    <t>Marginitermes</t>
    <phoneticPr fontId="3"/>
  </si>
  <si>
    <t>Neotermes</t>
    <phoneticPr fontId="3"/>
  </si>
  <si>
    <t>Paraneotermes</t>
    <phoneticPr fontId="3"/>
  </si>
  <si>
    <t>MP</t>
    <phoneticPr fontId="3"/>
  </si>
  <si>
    <t>Pterotermes</t>
    <phoneticPr fontId="3"/>
  </si>
  <si>
    <t>Mastotermitidae</t>
    <phoneticPr fontId="3"/>
  </si>
  <si>
    <t>Mastotermes</t>
    <phoneticPr fontId="3"/>
  </si>
  <si>
    <t>Rhinotermitidae</t>
    <phoneticPr fontId="5"/>
  </si>
  <si>
    <t>Coptotermes</t>
    <phoneticPr fontId="3"/>
  </si>
  <si>
    <t>Heterotermes</t>
    <phoneticPr fontId="5"/>
  </si>
  <si>
    <t>Reticulitermes</t>
    <phoneticPr fontId="3"/>
  </si>
  <si>
    <t>Dolichorhinotermes</t>
    <phoneticPr fontId="3"/>
  </si>
  <si>
    <t>Prorhinotermes</t>
    <phoneticPr fontId="3"/>
  </si>
  <si>
    <t>Rhinotermes</t>
    <phoneticPr fontId="3"/>
  </si>
  <si>
    <t>Serritermitidae</t>
    <phoneticPr fontId="5"/>
  </si>
  <si>
    <t>Serritermes</t>
    <phoneticPr fontId="5"/>
  </si>
  <si>
    <t>Stolotermitidae</t>
    <phoneticPr fontId="3"/>
  </si>
  <si>
    <t>Stolotermes</t>
    <phoneticPr fontId="3"/>
  </si>
  <si>
    <t>Termitidae</t>
    <phoneticPr fontId="3"/>
  </si>
  <si>
    <t>Amitermitinae</t>
    <phoneticPr fontId="3"/>
  </si>
  <si>
    <t>Amitermes</t>
    <phoneticPr fontId="3"/>
  </si>
  <si>
    <t>Dentispicotermes</t>
    <phoneticPr fontId="3"/>
  </si>
  <si>
    <t>Drepanotermes</t>
    <phoneticPr fontId="3"/>
  </si>
  <si>
    <t>Orthognathotermes</t>
    <phoneticPr fontId="3"/>
  </si>
  <si>
    <t>Crepititermitinae</t>
    <phoneticPr fontId="3"/>
  </si>
  <si>
    <t>Crepititermes</t>
    <phoneticPr fontId="3"/>
  </si>
  <si>
    <t>Cubitermes</t>
    <phoneticPr fontId="3"/>
  </si>
  <si>
    <t>Cubitermitinae</t>
    <phoneticPr fontId="3"/>
  </si>
  <si>
    <t>Procubitermes</t>
    <phoneticPr fontId="3"/>
  </si>
  <si>
    <t>Cylindrotermitinae</t>
    <phoneticPr fontId="3"/>
  </si>
  <si>
    <t>Cylindrotermes</t>
    <phoneticPr fontId="3"/>
  </si>
  <si>
    <t>Macrotermitinae</t>
    <phoneticPr fontId="3"/>
  </si>
  <si>
    <t>Macrotermes</t>
    <phoneticPr fontId="3"/>
  </si>
  <si>
    <t>Odontotermes</t>
    <phoneticPr fontId="3"/>
  </si>
  <si>
    <t>Pseudacanthotermes</t>
    <phoneticPr fontId="3"/>
  </si>
  <si>
    <t>Microcerotermitinae</t>
    <phoneticPr fontId="3"/>
  </si>
  <si>
    <t>Microcerotermes</t>
    <phoneticPr fontId="3"/>
  </si>
  <si>
    <t>Mirocapritermitinae</t>
    <phoneticPr fontId="3"/>
  </si>
  <si>
    <t>Homallotermes</t>
    <phoneticPr fontId="3"/>
  </si>
  <si>
    <t>Pericapritermes</t>
    <phoneticPr fontId="3"/>
  </si>
  <si>
    <t>Nasutitermitinae</t>
    <phoneticPr fontId="3"/>
  </si>
  <si>
    <t>Araujotermes</t>
    <phoneticPr fontId="3"/>
  </si>
  <si>
    <t>Bulbitermes</t>
    <phoneticPr fontId="3"/>
  </si>
  <si>
    <t>Constrictotermes</t>
    <phoneticPr fontId="3"/>
  </si>
  <si>
    <t>Diversitermes</t>
    <phoneticPr fontId="3"/>
  </si>
  <si>
    <t>Hospitalitermes</t>
    <phoneticPr fontId="3"/>
  </si>
  <si>
    <t>Longipeditermes</t>
    <phoneticPr fontId="3"/>
  </si>
  <si>
    <t>Nasutitermes</t>
    <phoneticPr fontId="3"/>
  </si>
  <si>
    <t>Trinervitermes</t>
    <phoneticPr fontId="3"/>
  </si>
  <si>
    <t>Neocapritermes</t>
    <phoneticPr fontId="3"/>
  </si>
  <si>
    <t>Syntermitinae</t>
    <phoneticPr fontId="3"/>
  </si>
  <si>
    <t>Cornitermes</t>
    <phoneticPr fontId="3"/>
  </si>
  <si>
    <t>Labiotermes</t>
    <phoneticPr fontId="3"/>
  </si>
  <si>
    <t>Syntermes</t>
    <phoneticPr fontId="3"/>
  </si>
  <si>
    <t>Termitinae</t>
    <phoneticPr fontId="3"/>
  </si>
  <si>
    <t>Capritermes</t>
    <phoneticPr fontId="3"/>
  </si>
  <si>
    <t>Cavitermes</t>
    <phoneticPr fontId="3"/>
  </si>
  <si>
    <t>Spinitermes</t>
    <phoneticPr fontId="3"/>
  </si>
  <si>
    <t>Tuberculitermes</t>
    <phoneticPr fontId="3"/>
  </si>
  <si>
    <t>Forager</t>
    <phoneticPr fontId="3"/>
  </si>
  <si>
    <t>Cephalotermes</t>
    <phoneticPr fontId="3"/>
  </si>
  <si>
    <t>Acanthotermes</t>
    <phoneticPr fontId="3"/>
  </si>
  <si>
    <t>Forager_string</t>
    <phoneticPr fontId="3"/>
  </si>
  <si>
    <t>Soldier_str_string</t>
    <phoneticPr fontId="3"/>
  </si>
  <si>
    <t>Non-Forager</t>
    <phoneticPr fontId="3"/>
  </si>
  <si>
    <t>Strong-point</t>
    <phoneticPr fontId="3"/>
  </si>
  <si>
    <t>Counter-attack</t>
    <phoneticPr fontId="3"/>
  </si>
  <si>
    <t>Porotermes</t>
    <phoneticPr fontId="3"/>
  </si>
  <si>
    <t>Termitogeton</t>
    <phoneticPr fontId="3"/>
  </si>
  <si>
    <t>Ancistrotermes</t>
    <phoneticPr fontId="3"/>
  </si>
  <si>
    <t>Hodotermopsis</t>
    <phoneticPr fontId="3"/>
  </si>
  <si>
    <t>Psammotermes</t>
    <phoneticPr fontId="3"/>
  </si>
  <si>
    <t>Glossotermes</t>
    <phoneticPr fontId="3"/>
  </si>
  <si>
    <t>Microtermes</t>
    <phoneticPr fontId="3"/>
  </si>
  <si>
    <t>Noditermes</t>
    <phoneticPr fontId="3"/>
  </si>
  <si>
    <t>Thoracotermes</t>
    <phoneticPr fontId="3"/>
  </si>
  <si>
    <t>Globitermes</t>
    <phoneticPr fontId="3"/>
  </si>
  <si>
    <t>Hypotermes</t>
    <phoneticPr fontId="3"/>
  </si>
  <si>
    <t>Procornitermes</t>
    <phoneticPr fontId="3"/>
  </si>
  <si>
    <t>Psammotermitidae</t>
    <phoneticPr fontId="3"/>
  </si>
  <si>
    <t>Psammotermitidae</t>
    <phoneticPr fontId="5"/>
  </si>
  <si>
    <t>Termitogetonidae</t>
    <phoneticPr fontId="5"/>
  </si>
  <si>
    <t>Termitiogetonidae</t>
    <phoneticPr fontId="5"/>
  </si>
  <si>
    <t>Heterotermitidae</t>
    <phoneticPr fontId="3"/>
  </si>
  <si>
    <t>Heterotermitidae</t>
    <phoneticPr fontId="5"/>
  </si>
  <si>
    <t>Termitidae</t>
    <phoneticPr fontId="5"/>
  </si>
  <si>
    <t>Hodotermopsidae</t>
    <phoneticPr fontId="3"/>
  </si>
  <si>
    <t>Hodotermopsidae</t>
    <phoneticPr fontId="5"/>
  </si>
  <si>
    <t>Hodotermitidae</t>
    <phoneticPr fontId="3"/>
  </si>
  <si>
    <t>Serritermitidae</t>
    <phoneticPr fontId="3"/>
  </si>
  <si>
    <t>Neocapritermitinae</t>
    <phoneticPr fontId="3"/>
  </si>
  <si>
    <t>Nesting(Abe)</t>
    <phoneticPr fontId="5"/>
  </si>
  <si>
    <t>OP</t>
    <phoneticPr fontId="5"/>
  </si>
  <si>
    <t>CP</t>
    <phoneticPr fontId="5"/>
  </si>
  <si>
    <t>Cryptotermes</t>
    <phoneticPr fontId="5"/>
  </si>
  <si>
    <t>Incisitermes</t>
    <phoneticPr fontId="5"/>
  </si>
  <si>
    <t>Kalotermes</t>
    <phoneticPr fontId="5"/>
  </si>
  <si>
    <t>Marginitermes</t>
    <phoneticPr fontId="5"/>
  </si>
  <si>
    <t>Neotermes</t>
    <phoneticPr fontId="5"/>
  </si>
  <si>
    <t>Pterotermes</t>
    <phoneticPr fontId="5"/>
  </si>
  <si>
    <t>Mastotermitidae</t>
    <phoneticPr fontId="5"/>
  </si>
  <si>
    <t>Mastotermes</t>
    <phoneticPr fontId="5"/>
  </si>
  <si>
    <t>MP</t>
    <phoneticPr fontId="5"/>
  </si>
  <si>
    <t>Coptotermes</t>
    <phoneticPr fontId="5"/>
  </si>
  <si>
    <t>Reticulitermes</t>
    <phoneticPr fontId="5"/>
  </si>
  <si>
    <t>Stolotermitidae</t>
    <phoneticPr fontId="5"/>
  </si>
  <si>
    <t>Stolotermes</t>
    <phoneticPr fontId="5"/>
  </si>
  <si>
    <t>Cubitermitinae</t>
    <phoneticPr fontId="5"/>
  </si>
  <si>
    <t>Cubitermes</t>
    <phoneticPr fontId="5"/>
  </si>
  <si>
    <t>Cylindrotermitinae</t>
    <phoneticPr fontId="5"/>
  </si>
  <si>
    <t>Cephalotermes</t>
    <phoneticPr fontId="5"/>
  </si>
  <si>
    <t>Macrotermitinae</t>
    <phoneticPr fontId="5"/>
  </si>
  <si>
    <t>Macrotermes</t>
    <phoneticPr fontId="5"/>
  </si>
  <si>
    <t>Odontotermes</t>
    <phoneticPr fontId="5"/>
  </si>
  <si>
    <t>Microcerotermitinae</t>
    <phoneticPr fontId="5"/>
  </si>
  <si>
    <t>Microcerotermes</t>
    <phoneticPr fontId="5"/>
  </si>
  <si>
    <t>Mirocapritermitinae</t>
    <phoneticPr fontId="5"/>
  </si>
  <si>
    <t>Nasutitermitinae</t>
    <phoneticPr fontId="5"/>
  </si>
  <si>
    <t>Bulbitermes</t>
    <phoneticPr fontId="5"/>
  </si>
  <si>
    <t>Hospitalitermes</t>
    <phoneticPr fontId="5"/>
  </si>
  <si>
    <t>Longipeditermes</t>
    <phoneticPr fontId="5"/>
  </si>
  <si>
    <t>Nasutitermes</t>
    <phoneticPr fontId="5"/>
  </si>
  <si>
    <t>Termitogeton</t>
    <phoneticPr fontId="5"/>
  </si>
  <si>
    <t>Hodotermopsis</t>
    <phoneticPr fontId="5"/>
  </si>
  <si>
    <t>Glossotermes</t>
    <phoneticPr fontId="5"/>
  </si>
  <si>
    <t>Homallotermes</t>
    <phoneticPr fontId="5"/>
  </si>
  <si>
    <t>Trinervitermes</t>
    <phoneticPr fontId="5"/>
  </si>
  <si>
    <t>Soldier_str</t>
    <phoneticPr fontId="5"/>
  </si>
  <si>
    <t>Soldier_prop</t>
    <phoneticPr fontId="3"/>
  </si>
  <si>
    <t>NA</t>
    <phoneticPr fontId="3"/>
  </si>
  <si>
    <t>n_morph</t>
    <phoneticPr fontId="3"/>
  </si>
  <si>
    <t>Hanus</t>
    <phoneticPr fontId="3"/>
  </si>
  <si>
    <t>Grasse 1982</t>
    <phoneticPr fontId="3"/>
  </si>
  <si>
    <t>Febiana et al., 2023</t>
    <phoneticPr fontId="3"/>
  </si>
  <si>
    <t>Luykx 1986</t>
    <phoneticPr fontId="3"/>
  </si>
  <si>
    <t>Roonwal 1985</t>
    <phoneticPr fontId="3"/>
  </si>
  <si>
    <t>Ruelle 1972</t>
    <phoneticPr fontId="3"/>
  </si>
  <si>
    <t>ensaf et al., 2003</t>
    <phoneticPr fontId="3"/>
  </si>
  <si>
    <t>Adam and Mitchell 2009</t>
    <phoneticPr fontId="3"/>
  </si>
  <si>
    <t>Raw 1983</t>
    <phoneticPr fontId="3"/>
  </si>
  <si>
    <t>polymorph_ref</t>
    <phoneticPr fontId="3"/>
  </si>
  <si>
    <t>Soldier_prop</t>
    <phoneticPr fontId="5"/>
  </si>
  <si>
    <t>Sol_size_to_imago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</si>
</sst>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"/>
  </numFmts>
  <fonts count="7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10"/>
      <name val="PT Sans"/>
      <family val="2"/>
    </font>
    <font>
      <sz val="6"/>
      <name val="Yu Gothic"/>
      <family val="3"/>
      <charset val="128"/>
      <scheme val="minor"/>
    </font>
    <font>
      <sz val="10"/>
      <color theme="1"/>
      <name val="PT Sans"/>
      <family val="2"/>
    </font>
    <font>
      <sz val="6"/>
      <name val="Yu Gothic"/>
      <family val="2"/>
      <charset val="128"/>
      <scheme val="minor"/>
    </font>
    <font>
      <sz val="1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4" fillId="0" borderId="0" xfId="0" applyFont="1"/>
    <xf numFmtId="0" fontId="2" fillId="0" borderId="0" xfId="1" applyFont="1"/>
    <xf numFmtId="0" fontId="2" fillId="0" borderId="0" xfId="0" applyFont="1" applyAlignment="1">
      <alignment vertical="center"/>
    </xf>
    <xf numFmtId="0" fontId="2" fillId="0" borderId="0" xfId="0" applyFont="1"/>
    <xf numFmtId="0" fontId="6" fillId="0" borderId="0" xfId="0" applyFont="1"/>
    <xf numFmtId="0" fontId="4" fillId="0" borderId="0" xfId="0" applyFont="1" applyAlignment="1">
      <alignment vertical="center"/>
    </xf>
    <xf numFmtId="176" fontId="2" fillId="0" borderId="0" xfId="1" applyNumberFormat="1" applyFont="1"/>
    <xf numFmtId="176" fontId="4" fillId="0" borderId="0" xfId="0" applyNumberFormat="1" applyFont="1" applyAlignment="1">
      <alignment vertical="center"/>
    </xf>
    <xf numFmtId="176" fontId="0" fillId="0" borderId="0" xfId="0" applyNumberFormat="1"/>
    <xf numFmtId="0" fontId="0" fillId="0" borderId="0" xfId="0" quotePrefix="1" applyAlignment="1">
      <alignment vertical="center"/>
    </xf>
    <xf numFmtId="0" fontId="4" fillId="0" borderId="0" xfId="0" quotePrefix="1" applyFont="1" applyAlignment="1">
      <alignment vertical="center"/>
    </xf>
    <xf numFmtId="177" fontId="2" fillId="0" borderId="0" xfId="0" applyNumberFormat="1" applyFont="1"/>
    <xf numFmtId="0" fontId="4" fillId="0" borderId="0" xfId="0" applyFont="1" applyAlignment="1">
      <alignment wrapText="1"/>
    </xf>
  </cellXfs>
  <cellStyles count="2">
    <cellStyle name="標準" xfId="0" builtinId="0"/>
    <cellStyle name="標準 2" xfId="1" xr:uid="{1E2BD6FE-1CA8-45A8-8443-645358956F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"/>
  <sheetViews>
    <sheetView tabSelected="1" zoomScaleNormal="100" workbookViewId="0">
      <selection activeCell="J2" sqref="J2"/>
    </sheetView>
  </sheetViews>
  <sheetFormatPr defaultRowHeight="18"/>
  <cols>
    <col min="1" max="1" width="14.4140625" style="1" bestFit="1" customWidth="1"/>
    <col min="2" max="2" width="16.1640625" style="1" bestFit="1" customWidth="1"/>
    <col min="3" max="3" width="15.6640625" style="1" bestFit="1" customWidth="1"/>
    <col min="4" max="5" width="8.6640625" style="1"/>
    <col min="6" max="6" width="11.4140625" style="1" bestFit="1" customWidth="1"/>
    <col min="7" max="7" width="8.6640625" style="1"/>
    <col min="8" max="8" width="13.6640625" style="1" bestFit="1" customWidth="1"/>
    <col min="9" max="9" width="8.6640625" style="1"/>
    <col min="10" max="10" width="14.1640625" style="1" bestFit="1" customWidth="1"/>
    <col min="11" max="11" width="8.6640625" style="1"/>
    <col min="12" max="12" width="19.1640625" style="1" bestFit="1" customWidth="1"/>
  </cols>
  <sheetData>
    <row r="1" spans="1:12">
      <c r="A1" s="2" t="s">
        <v>0</v>
      </c>
      <c r="B1" s="2" t="s">
        <v>1</v>
      </c>
      <c r="C1" s="2" t="s">
        <v>2</v>
      </c>
      <c r="D1" s="1" t="s">
        <v>3</v>
      </c>
      <c r="E1" s="1" t="s">
        <v>78</v>
      </c>
      <c r="F1" s="1" t="s">
        <v>81</v>
      </c>
      <c r="G1" s="1" t="s">
        <v>7</v>
      </c>
      <c r="H1" s="1" t="s">
        <v>82</v>
      </c>
      <c r="I1" s="1" t="s">
        <v>147</v>
      </c>
      <c r="J1" s="1" t="s">
        <v>161</v>
      </c>
      <c r="K1" s="1" t="s">
        <v>149</v>
      </c>
      <c r="L1" s="1" t="s">
        <v>159</v>
      </c>
    </row>
    <row r="2" spans="1:12" s="5" customFormat="1">
      <c r="A2" s="4" t="s">
        <v>4</v>
      </c>
      <c r="B2" s="3" t="s">
        <v>4</v>
      </c>
      <c r="C2" s="3" t="s">
        <v>5</v>
      </c>
      <c r="D2" s="4" t="s">
        <v>6</v>
      </c>
      <c r="E2" s="4">
        <v>0</v>
      </c>
      <c r="F2" s="4" t="s">
        <v>83</v>
      </c>
      <c r="G2" s="4">
        <v>1</v>
      </c>
      <c r="H2" s="4" t="s">
        <v>84</v>
      </c>
      <c r="I2" s="4">
        <v>5</v>
      </c>
      <c r="J2" s="12">
        <f>4.092/2.468</f>
        <v>1.6580226904376012</v>
      </c>
      <c r="K2" s="4">
        <v>1</v>
      </c>
      <c r="L2" s="4"/>
    </row>
    <row r="3" spans="1:12" s="5" customFormat="1">
      <c r="A3" s="3" t="s">
        <v>4</v>
      </c>
      <c r="B3" s="3" t="s">
        <v>4</v>
      </c>
      <c r="C3" s="3" t="s">
        <v>8</v>
      </c>
      <c r="D3" s="4" t="s">
        <v>6</v>
      </c>
      <c r="E3" s="4">
        <v>0</v>
      </c>
      <c r="F3" s="4" t="s">
        <v>83</v>
      </c>
      <c r="G3" s="4">
        <v>1</v>
      </c>
      <c r="H3" s="4" t="s">
        <v>84</v>
      </c>
      <c r="I3" s="4">
        <v>4.0999999999999996</v>
      </c>
      <c r="J3" s="4">
        <v>1.546</v>
      </c>
      <c r="K3" s="4">
        <v>1</v>
      </c>
      <c r="L3" s="4"/>
    </row>
    <row r="4" spans="1:12" s="5" customFormat="1">
      <c r="A4" s="4" t="s">
        <v>102</v>
      </c>
      <c r="B4" s="3" t="s">
        <v>103</v>
      </c>
      <c r="C4" s="4" t="s">
        <v>27</v>
      </c>
      <c r="D4" s="4" t="s">
        <v>11</v>
      </c>
      <c r="E4" s="4">
        <v>1</v>
      </c>
      <c r="F4" s="4" t="s">
        <v>78</v>
      </c>
      <c r="G4" s="4">
        <v>0</v>
      </c>
      <c r="H4" s="4" t="s">
        <v>85</v>
      </c>
      <c r="I4" s="4">
        <v>15</v>
      </c>
      <c r="J4" s="4">
        <v>0.86799999999999999</v>
      </c>
      <c r="K4" s="4">
        <v>1</v>
      </c>
      <c r="L4" s="4"/>
    </row>
    <row r="5" spans="1:12" s="5" customFormat="1">
      <c r="A5" s="3" t="s">
        <v>102</v>
      </c>
      <c r="B5" s="3" t="s">
        <v>103</v>
      </c>
      <c r="C5" s="3" t="s">
        <v>28</v>
      </c>
      <c r="D5" s="4" t="s">
        <v>22</v>
      </c>
      <c r="E5" s="4">
        <v>1</v>
      </c>
      <c r="F5" s="4" t="s">
        <v>78</v>
      </c>
      <c r="G5" s="4">
        <v>1</v>
      </c>
      <c r="H5" s="4" t="s">
        <v>84</v>
      </c>
      <c r="I5" s="4">
        <v>2.6</v>
      </c>
      <c r="J5" s="4">
        <v>1.048</v>
      </c>
      <c r="K5" s="4">
        <v>2</v>
      </c>
      <c r="L5" s="4" t="s">
        <v>152</v>
      </c>
    </row>
    <row r="6" spans="1:12" s="5" customFormat="1">
      <c r="A6" s="4" t="s">
        <v>102</v>
      </c>
      <c r="B6" s="3" t="s">
        <v>103</v>
      </c>
      <c r="C6" s="4" t="s">
        <v>29</v>
      </c>
      <c r="D6" s="4" t="s">
        <v>22</v>
      </c>
      <c r="E6" s="4">
        <v>1</v>
      </c>
      <c r="F6" s="4" t="s">
        <v>78</v>
      </c>
      <c r="G6" s="4">
        <v>1</v>
      </c>
      <c r="H6" s="4" t="s">
        <v>84</v>
      </c>
      <c r="I6" s="4">
        <v>4.0999999999999996</v>
      </c>
      <c r="J6" s="4">
        <v>1.0660000000000001</v>
      </c>
      <c r="K6" s="4">
        <v>1</v>
      </c>
      <c r="L6" s="4"/>
    </row>
    <row r="7" spans="1:12" s="5" customFormat="1">
      <c r="A7" s="3" t="s">
        <v>9</v>
      </c>
      <c r="B7" s="3" t="s">
        <v>9</v>
      </c>
      <c r="C7" s="3" t="s">
        <v>10</v>
      </c>
      <c r="D7" s="4" t="s">
        <v>11</v>
      </c>
      <c r="E7" s="4">
        <v>1</v>
      </c>
      <c r="F7" s="4" t="s">
        <v>78</v>
      </c>
      <c r="G7" s="4">
        <v>1</v>
      </c>
      <c r="H7" s="4" t="s">
        <v>84</v>
      </c>
      <c r="I7" s="4">
        <v>5.6</v>
      </c>
      <c r="J7" s="4">
        <v>1.1259999999999999</v>
      </c>
      <c r="K7" s="4">
        <v>1</v>
      </c>
      <c r="L7" s="4"/>
    </row>
    <row r="8" spans="1:12" s="5" customFormat="1">
      <c r="A8" s="4" t="s">
        <v>107</v>
      </c>
      <c r="B8" s="3" t="s">
        <v>9</v>
      </c>
      <c r="C8" s="4" t="s">
        <v>12</v>
      </c>
      <c r="D8" s="4" t="s">
        <v>11</v>
      </c>
      <c r="E8" s="4">
        <v>1</v>
      </c>
      <c r="F8" s="4" t="s">
        <v>78</v>
      </c>
      <c r="G8" s="4">
        <v>1</v>
      </c>
      <c r="H8" s="4" t="s">
        <v>84</v>
      </c>
      <c r="I8" s="4">
        <v>1.6</v>
      </c>
      <c r="J8" s="4">
        <v>1.07</v>
      </c>
      <c r="K8" s="4">
        <v>1</v>
      </c>
      <c r="L8" s="4"/>
    </row>
    <row r="9" spans="1:12" s="5" customFormat="1">
      <c r="A9" s="4" t="s">
        <v>105</v>
      </c>
      <c r="B9" s="4" t="s">
        <v>106</v>
      </c>
      <c r="C9" s="4" t="s">
        <v>89</v>
      </c>
      <c r="D9" s="4" t="s">
        <v>22</v>
      </c>
      <c r="E9" s="4">
        <v>1</v>
      </c>
      <c r="F9" s="4" t="s">
        <v>78</v>
      </c>
      <c r="G9" s="4">
        <v>1</v>
      </c>
      <c r="H9" s="4" t="s">
        <v>84</v>
      </c>
      <c r="I9" s="4">
        <v>4.0999999999999996</v>
      </c>
      <c r="J9" s="4">
        <v>1.526</v>
      </c>
      <c r="K9" s="4">
        <v>1</v>
      </c>
      <c r="L9" s="4"/>
    </row>
    <row r="10" spans="1:12" s="5" customFormat="1">
      <c r="A10" s="4" t="s">
        <v>13</v>
      </c>
      <c r="B10" s="3" t="s">
        <v>13</v>
      </c>
      <c r="C10" s="3" t="s">
        <v>14</v>
      </c>
      <c r="D10" s="4" t="s">
        <v>6</v>
      </c>
      <c r="E10" s="4">
        <v>0</v>
      </c>
      <c r="F10" s="4" t="s">
        <v>83</v>
      </c>
      <c r="G10" s="4">
        <v>1</v>
      </c>
      <c r="H10" s="4" t="s">
        <v>84</v>
      </c>
      <c r="I10" s="4">
        <v>2.7</v>
      </c>
      <c r="J10" s="4">
        <v>1.2250000000000001</v>
      </c>
      <c r="K10" s="4">
        <v>1</v>
      </c>
      <c r="L10" s="4"/>
    </row>
    <row r="11" spans="1:12" s="5" customFormat="1">
      <c r="A11" s="4" t="s">
        <v>13</v>
      </c>
      <c r="B11" s="3" t="s">
        <v>13</v>
      </c>
      <c r="C11" s="4" t="s">
        <v>15</v>
      </c>
      <c r="D11" s="4" t="s">
        <v>6</v>
      </c>
      <c r="E11" s="4">
        <v>0</v>
      </c>
      <c r="F11" s="4" t="s">
        <v>83</v>
      </c>
      <c r="G11" s="4">
        <v>1</v>
      </c>
      <c r="H11" s="4" t="s">
        <v>84</v>
      </c>
      <c r="I11" s="4">
        <v>2.5</v>
      </c>
      <c r="J11" s="4">
        <v>1.198</v>
      </c>
      <c r="K11" s="4">
        <v>1</v>
      </c>
      <c r="L11" s="4"/>
    </row>
    <row r="12" spans="1:12" s="5" customFormat="1">
      <c r="A12" s="4" t="s">
        <v>13</v>
      </c>
      <c r="B12" s="3" t="s">
        <v>13</v>
      </c>
      <c r="C12" s="3" t="s">
        <v>16</v>
      </c>
      <c r="D12" s="4" t="s">
        <v>6</v>
      </c>
      <c r="E12" s="4">
        <v>0</v>
      </c>
      <c r="F12" s="4" t="s">
        <v>83</v>
      </c>
      <c r="G12" s="4">
        <v>1</v>
      </c>
      <c r="H12" s="4" t="s">
        <v>84</v>
      </c>
      <c r="I12" s="4">
        <v>3.9</v>
      </c>
      <c r="J12" s="4">
        <v>1.145</v>
      </c>
      <c r="K12" s="4">
        <v>1</v>
      </c>
      <c r="L12" s="4"/>
    </row>
    <row r="13" spans="1:12" s="5" customFormat="1">
      <c r="A13" s="4" t="s">
        <v>13</v>
      </c>
      <c r="B13" s="3" t="s">
        <v>13</v>
      </c>
      <c r="C13" s="4" t="s">
        <v>17</v>
      </c>
      <c r="D13" s="4" t="s">
        <v>6</v>
      </c>
      <c r="E13" s="4">
        <v>0</v>
      </c>
      <c r="F13" s="4" t="s">
        <v>83</v>
      </c>
      <c r="G13" s="4">
        <v>1</v>
      </c>
      <c r="H13" s="4" t="s">
        <v>84</v>
      </c>
      <c r="I13" s="4">
        <v>5.0999999999999996</v>
      </c>
      <c r="J13" s="4">
        <v>1.2749999999999999</v>
      </c>
      <c r="K13" s="4">
        <v>2</v>
      </c>
      <c r="L13" s="4" t="s">
        <v>153</v>
      </c>
    </row>
    <row r="14" spans="1:12" s="5" customFormat="1">
      <c r="A14" s="3" t="s">
        <v>13</v>
      </c>
      <c r="B14" s="3" t="s">
        <v>13</v>
      </c>
      <c r="C14" s="4" t="s">
        <v>18</v>
      </c>
      <c r="D14" s="4" t="s">
        <v>6</v>
      </c>
      <c r="E14" s="4">
        <v>0</v>
      </c>
      <c r="F14" s="4" t="s">
        <v>83</v>
      </c>
      <c r="G14" s="4">
        <v>1</v>
      </c>
      <c r="H14" s="4" t="s">
        <v>84</v>
      </c>
      <c r="I14" s="4">
        <v>5.3</v>
      </c>
      <c r="J14" s="4">
        <v>1.1259999999999999</v>
      </c>
      <c r="K14" s="4">
        <v>1</v>
      </c>
      <c r="L14" s="4"/>
    </row>
    <row r="15" spans="1:12" s="5" customFormat="1">
      <c r="A15" s="4" t="s">
        <v>13</v>
      </c>
      <c r="B15" s="3" t="s">
        <v>13</v>
      </c>
      <c r="C15" s="4" t="s">
        <v>19</v>
      </c>
      <c r="D15" s="4" t="s">
        <v>6</v>
      </c>
      <c r="E15" s="4">
        <v>0</v>
      </c>
      <c r="F15" s="4" t="s">
        <v>83</v>
      </c>
      <c r="G15" s="4">
        <v>1</v>
      </c>
      <c r="H15" s="4" t="s">
        <v>84</v>
      </c>
      <c r="I15" s="4">
        <v>2.9</v>
      </c>
      <c r="J15" s="4">
        <v>1.1160000000000001</v>
      </c>
      <c r="K15" s="4">
        <v>1</v>
      </c>
      <c r="L15" s="4"/>
    </row>
    <row r="16" spans="1:12" s="5" customFormat="1">
      <c r="A16" s="3" t="s">
        <v>13</v>
      </c>
      <c r="B16" s="3" t="s">
        <v>13</v>
      </c>
      <c r="C16" s="4" t="s">
        <v>20</v>
      </c>
      <c r="D16" s="4" t="s">
        <v>6</v>
      </c>
      <c r="E16" s="4">
        <v>0</v>
      </c>
      <c r="F16" s="4" t="s">
        <v>83</v>
      </c>
      <c r="G16" s="4">
        <v>1</v>
      </c>
      <c r="H16" s="4" t="s">
        <v>84</v>
      </c>
      <c r="I16" s="4">
        <v>4.7</v>
      </c>
      <c r="J16" s="4">
        <v>1.4370000000000001</v>
      </c>
      <c r="K16" s="4">
        <v>1</v>
      </c>
      <c r="L16" s="4"/>
    </row>
    <row r="17" spans="1:12" s="5" customFormat="1">
      <c r="A17" s="4" t="s">
        <v>13</v>
      </c>
      <c r="B17" s="3" t="s">
        <v>13</v>
      </c>
      <c r="C17" s="4" t="s">
        <v>21</v>
      </c>
      <c r="D17" s="4" t="s">
        <v>22</v>
      </c>
      <c r="E17" s="4">
        <v>1</v>
      </c>
      <c r="F17" s="4" t="s">
        <v>78</v>
      </c>
      <c r="G17" s="4">
        <v>1</v>
      </c>
      <c r="H17" s="4" t="s">
        <v>84</v>
      </c>
      <c r="I17" s="4">
        <v>11.1</v>
      </c>
      <c r="J17" s="4">
        <v>1.528</v>
      </c>
      <c r="K17" s="4">
        <v>1</v>
      </c>
      <c r="L17" s="4"/>
    </row>
    <row r="18" spans="1:12" s="5" customFormat="1">
      <c r="A18" s="4" t="s">
        <v>13</v>
      </c>
      <c r="B18" s="3" t="s">
        <v>13</v>
      </c>
      <c r="C18" s="4" t="s">
        <v>23</v>
      </c>
      <c r="D18" s="4" t="s">
        <v>6</v>
      </c>
      <c r="E18" s="4">
        <v>0</v>
      </c>
      <c r="F18" s="4" t="s">
        <v>83</v>
      </c>
      <c r="G18" s="4">
        <v>1</v>
      </c>
      <c r="H18" s="4" t="s">
        <v>84</v>
      </c>
      <c r="I18" s="4">
        <v>2.6</v>
      </c>
      <c r="J18" s="4" t="s">
        <v>148</v>
      </c>
      <c r="K18" s="4">
        <v>1</v>
      </c>
      <c r="L18" s="4"/>
    </row>
    <row r="19" spans="1:12" s="5" customFormat="1">
      <c r="A19" s="4" t="s">
        <v>24</v>
      </c>
      <c r="B19" s="4" t="s">
        <v>24</v>
      </c>
      <c r="C19" s="4" t="s">
        <v>25</v>
      </c>
      <c r="D19" s="4" t="s">
        <v>22</v>
      </c>
      <c r="E19" s="4">
        <v>1</v>
      </c>
      <c r="F19" s="4" t="s">
        <v>78</v>
      </c>
      <c r="G19" s="4">
        <v>0</v>
      </c>
      <c r="H19" s="4" t="s">
        <v>85</v>
      </c>
      <c r="I19" s="4">
        <v>3.8</v>
      </c>
      <c r="J19" s="4">
        <v>1.0229999999999999</v>
      </c>
      <c r="K19" s="4">
        <v>1</v>
      </c>
      <c r="L19" s="4"/>
    </row>
    <row r="20" spans="1:12" s="5" customFormat="1">
      <c r="A20" s="4" t="s">
        <v>98</v>
      </c>
      <c r="B20" s="3" t="s">
        <v>99</v>
      </c>
      <c r="C20" s="4" t="s">
        <v>31</v>
      </c>
      <c r="D20" s="4" t="s">
        <v>6</v>
      </c>
      <c r="E20" s="4">
        <v>0</v>
      </c>
      <c r="F20" s="4" t="s">
        <v>83</v>
      </c>
      <c r="G20" s="4">
        <v>0</v>
      </c>
      <c r="H20" s="4" t="s">
        <v>85</v>
      </c>
      <c r="I20" s="4">
        <v>13.4</v>
      </c>
      <c r="J20" s="4">
        <v>0.97299999999999998</v>
      </c>
      <c r="K20" s="4">
        <v>1</v>
      </c>
      <c r="L20" s="4"/>
    </row>
    <row r="21" spans="1:12" s="5" customFormat="1">
      <c r="A21" s="4" t="s">
        <v>98</v>
      </c>
      <c r="B21" s="4" t="s">
        <v>99</v>
      </c>
      <c r="C21" s="4" t="s">
        <v>90</v>
      </c>
      <c r="D21" s="4" t="s">
        <v>22</v>
      </c>
      <c r="E21" s="4">
        <v>1</v>
      </c>
      <c r="F21" s="4" t="s">
        <v>78</v>
      </c>
      <c r="G21" s="4">
        <v>1</v>
      </c>
      <c r="H21" s="4" t="s">
        <v>84</v>
      </c>
      <c r="I21" s="4">
        <v>4.5</v>
      </c>
      <c r="J21" s="4">
        <v>0.93700000000000006</v>
      </c>
      <c r="K21" s="4">
        <v>3</v>
      </c>
      <c r="L21" s="4" t="s">
        <v>154</v>
      </c>
    </row>
    <row r="22" spans="1:12" s="5" customFormat="1">
      <c r="A22" s="4" t="s">
        <v>26</v>
      </c>
      <c r="B22" s="3" t="s">
        <v>26</v>
      </c>
      <c r="C22" s="4" t="s">
        <v>30</v>
      </c>
      <c r="D22" s="4" t="s">
        <v>22</v>
      </c>
      <c r="E22" s="4">
        <v>1</v>
      </c>
      <c r="F22" s="4" t="s">
        <v>78</v>
      </c>
      <c r="G22" s="4">
        <v>0</v>
      </c>
      <c r="H22" s="4" t="s">
        <v>85</v>
      </c>
      <c r="I22" s="4">
        <v>35</v>
      </c>
      <c r="J22" s="11">
        <v>0.68100000000000005</v>
      </c>
      <c r="K22" s="4">
        <v>2</v>
      </c>
      <c r="L22" s="4" t="s">
        <v>150</v>
      </c>
    </row>
    <row r="23" spans="1:12" s="5" customFormat="1">
      <c r="A23" s="4" t="s">
        <v>26</v>
      </c>
      <c r="B23" s="3" t="s">
        <v>26</v>
      </c>
      <c r="C23" s="4" t="s">
        <v>32</v>
      </c>
      <c r="D23" s="4" t="s">
        <v>22</v>
      </c>
      <c r="E23" s="4">
        <v>1</v>
      </c>
      <c r="F23" s="4" t="s">
        <v>78</v>
      </c>
      <c r="G23" s="4">
        <v>0</v>
      </c>
      <c r="H23" s="4" t="s">
        <v>85</v>
      </c>
      <c r="I23" s="4">
        <v>15</v>
      </c>
      <c r="J23" s="4">
        <v>0.70199999999999996</v>
      </c>
      <c r="K23" s="4">
        <v>2</v>
      </c>
      <c r="L23" s="1" t="s">
        <v>150</v>
      </c>
    </row>
    <row r="24" spans="1:12" s="5" customFormat="1">
      <c r="A24" s="4" t="s">
        <v>108</v>
      </c>
      <c r="B24" s="4" t="s">
        <v>33</v>
      </c>
      <c r="C24" s="4" t="s">
        <v>91</v>
      </c>
      <c r="D24" s="4" t="s">
        <v>6</v>
      </c>
      <c r="E24" s="4">
        <v>0</v>
      </c>
      <c r="F24" s="4" t="s">
        <v>83</v>
      </c>
      <c r="G24" s="4">
        <v>1</v>
      </c>
      <c r="H24" s="4" t="s">
        <v>84</v>
      </c>
      <c r="I24" s="4">
        <v>8.4</v>
      </c>
      <c r="J24" s="4">
        <v>1.042</v>
      </c>
      <c r="K24" s="4">
        <v>1</v>
      </c>
      <c r="L24" s="4"/>
    </row>
    <row r="25" spans="1:12" s="5" customFormat="1">
      <c r="A25" s="4" t="s">
        <v>108</v>
      </c>
      <c r="B25" s="3" t="s">
        <v>33</v>
      </c>
      <c r="C25" s="3" t="s">
        <v>34</v>
      </c>
      <c r="D25" s="4" t="s">
        <v>6</v>
      </c>
      <c r="E25" s="4">
        <v>0</v>
      </c>
      <c r="F25" s="4" t="s">
        <v>83</v>
      </c>
      <c r="G25" s="4">
        <v>1</v>
      </c>
      <c r="H25" s="4" t="s">
        <v>84</v>
      </c>
      <c r="I25" s="4">
        <v>5</v>
      </c>
      <c r="J25" s="4">
        <v>0.95699999999999996</v>
      </c>
      <c r="K25" s="4">
        <v>1</v>
      </c>
      <c r="L25" s="4"/>
    </row>
    <row r="26" spans="1:12" s="5" customFormat="1">
      <c r="A26" s="4" t="s">
        <v>35</v>
      </c>
      <c r="B26" s="4" t="s">
        <v>35</v>
      </c>
      <c r="C26" s="4" t="s">
        <v>86</v>
      </c>
      <c r="D26" s="4" t="s">
        <v>6</v>
      </c>
      <c r="E26" s="4">
        <v>0</v>
      </c>
      <c r="F26" s="4" t="s">
        <v>83</v>
      </c>
      <c r="G26" s="4">
        <v>1</v>
      </c>
      <c r="H26" s="4" t="s">
        <v>84</v>
      </c>
      <c r="I26" s="4">
        <v>4.2</v>
      </c>
      <c r="J26" s="4">
        <v>1.524</v>
      </c>
      <c r="K26" s="4">
        <v>1</v>
      </c>
      <c r="L26" s="4"/>
    </row>
    <row r="27" spans="1:12" s="5" customFormat="1">
      <c r="A27" s="4" t="s">
        <v>35</v>
      </c>
      <c r="B27" s="4" t="s">
        <v>35</v>
      </c>
      <c r="C27" s="4" t="s">
        <v>36</v>
      </c>
      <c r="D27" s="4" t="s">
        <v>6</v>
      </c>
      <c r="E27" s="4">
        <v>0</v>
      </c>
      <c r="F27" s="4" t="s">
        <v>83</v>
      </c>
      <c r="G27" s="4">
        <v>1</v>
      </c>
      <c r="H27" s="4" t="s">
        <v>84</v>
      </c>
      <c r="I27" s="4">
        <v>3.5</v>
      </c>
      <c r="J27" s="4">
        <v>1.2909999999999999</v>
      </c>
      <c r="K27" s="4">
        <v>1</v>
      </c>
      <c r="L27" s="4"/>
    </row>
    <row r="28" spans="1:12" s="5" customFormat="1">
      <c r="A28" s="4" t="s">
        <v>37</v>
      </c>
      <c r="B28" s="4" t="s">
        <v>38</v>
      </c>
      <c r="C28" s="4" t="s">
        <v>39</v>
      </c>
      <c r="D28" s="4" t="s">
        <v>11</v>
      </c>
      <c r="E28" s="4">
        <v>1</v>
      </c>
      <c r="F28" s="4" t="s">
        <v>78</v>
      </c>
      <c r="G28" s="4">
        <v>0</v>
      </c>
      <c r="H28" s="4" t="s">
        <v>85</v>
      </c>
      <c r="I28" s="4">
        <v>5.6</v>
      </c>
      <c r="J28" s="11">
        <v>1.012</v>
      </c>
      <c r="K28" s="4">
        <v>1</v>
      </c>
      <c r="L28" s="4"/>
    </row>
    <row r="29" spans="1:12" s="5" customFormat="1">
      <c r="A29" s="4" t="s">
        <v>37</v>
      </c>
      <c r="B29" s="4" t="s">
        <v>38</v>
      </c>
      <c r="C29" s="4" t="s">
        <v>40</v>
      </c>
      <c r="D29" s="4" t="s">
        <v>11</v>
      </c>
      <c r="E29" s="4">
        <v>1</v>
      </c>
      <c r="F29" s="4" t="s">
        <v>78</v>
      </c>
      <c r="G29" s="4">
        <v>1</v>
      </c>
      <c r="H29" s="4" t="s">
        <v>84</v>
      </c>
      <c r="I29" s="4">
        <v>2</v>
      </c>
      <c r="J29" s="4">
        <v>1.2090000000000001</v>
      </c>
      <c r="K29" s="4">
        <v>1</v>
      </c>
      <c r="L29" s="4"/>
    </row>
    <row r="30" spans="1:12" s="5" customFormat="1">
      <c r="A30" s="4" t="s">
        <v>37</v>
      </c>
      <c r="B30" s="4" t="s">
        <v>38</v>
      </c>
      <c r="C30" s="4" t="s">
        <v>41</v>
      </c>
      <c r="D30" s="4" t="s">
        <v>11</v>
      </c>
      <c r="E30" s="4">
        <v>1</v>
      </c>
      <c r="F30" s="4" t="s">
        <v>78</v>
      </c>
      <c r="G30" s="4">
        <v>0</v>
      </c>
      <c r="H30" s="4" t="s">
        <v>85</v>
      </c>
      <c r="I30" s="4">
        <v>7.9</v>
      </c>
      <c r="J30" s="4">
        <v>0.93100000000000005</v>
      </c>
      <c r="K30" s="4">
        <v>1</v>
      </c>
      <c r="L30" s="4"/>
    </row>
    <row r="31" spans="1:12" s="5" customFormat="1">
      <c r="A31" s="4" t="s">
        <v>37</v>
      </c>
      <c r="B31" s="4" t="s">
        <v>38</v>
      </c>
      <c r="C31" s="4" t="s">
        <v>95</v>
      </c>
      <c r="D31" s="4" t="s">
        <v>11</v>
      </c>
      <c r="E31" s="4">
        <v>1</v>
      </c>
      <c r="F31" s="4" t="s">
        <v>78</v>
      </c>
      <c r="G31" s="4">
        <v>1</v>
      </c>
      <c r="H31" s="4" t="s">
        <v>84</v>
      </c>
      <c r="I31" s="4">
        <v>12.6</v>
      </c>
      <c r="J31" s="11">
        <v>0.86399999999999999</v>
      </c>
      <c r="K31" s="4">
        <v>1</v>
      </c>
      <c r="L31" s="4"/>
    </row>
    <row r="32" spans="1:12" s="5" customFormat="1">
      <c r="A32" s="3" t="s">
        <v>37</v>
      </c>
      <c r="B32" s="4" t="s">
        <v>38</v>
      </c>
      <c r="C32" s="4" t="s">
        <v>42</v>
      </c>
      <c r="D32" s="4" t="s">
        <v>11</v>
      </c>
      <c r="E32" s="4">
        <v>1</v>
      </c>
      <c r="F32" s="4" t="s">
        <v>78</v>
      </c>
      <c r="G32" s="4">
        <v>1</v>
      </c>
      <c r="H32" s="4" t="s">
        <v>84</v>
      </c>
      <c r="I32" s="4">
        <v>1.2</v>
      </c>
      <c r="J32" s="4">
        <v>1.423</v>
      </c>
      <c r="K32" s="4">
        <v>2</v>
      </c>
      <c r="L32" s="4" t="s">
        <v>158</v>
      </c>
    </row>
    <row r="33" spans="1:12" s="5" customFormat="1">
      <c r="A33" s="4" t="s">
        <v>37</v>
      </c>
      <c r="B33" s="4" t="s">
        <v>43</v>
      </c>
      <c r="C33" s="4" t="s">
        <v>44</v>
      </c>
      <c r="D33" s="4" t="s">
        <v>11</v>
      </c>
      <c r="E33" s="4">
        <v>1</v>
      </c>
      <c r="F33" s="4" t="s">
        <v>78</v>
      </c>
      <c r="G33" s="4">
        <v>1</v>
      </c>
      <c r="H33" s="4" t="s">
        <v>84</v>
      </c>
      <c r="I33" s="4">
        <v>1</v>
      </c>
      <c r="J33" s="6">
        <v>1.0549999999999999</v>
      </c>
      <c r="K33" s="4">
        <v>1</v>
      </c>
      <c r="L33" s="4"/>
    </row>
    <row r="34" spans="1:12" s="5" customFormat="1">
      <c r="A34" s="4" t="s">
        <v>37</v>
      </c>
      <c r="B34" s="4" t="s">
        <v>46</v>
      </c>
      <c r="C34" s="4" t="s">
        <v>45</v>
      </c>
      <c r="D34" s="4" t="s">
        <v>11</v>
      </c>
      <c r="E34" s="4">
        <v>1</v>
      </c>
      <c r="F34" s="4" t="s">
        <v>78</v>
      </c>
      <c r="G34" s="4">
        <v>1</v>
      </c>
      <c r="H34" s="4" t="s">
        <v>84</v>
      </c>
      <c r="I34" s="4">
        <v>1.4</v>
      </c>
      <c r="J34" s="4">
        <v>1.2949999999999999</v>
      </c>
      <c r="K34" s="4">
        <v>1</v>
      </c>
      <c r="L34" s="4"/>
    </row>
    <row r="35" spans="1:12" s="5" customFormat="1">
      <c r="A35" s="4" t="s">
        <v>37</v>
      </c>
      <c r="B35" s="4" t="s">
        <v>46</v>
      </c>
      <c r="C35" s="4" t="s">
        <v>93</v>
      </c>
      <c r="D35" s="4" t="s">
        <v>11</v>
      </c>
      <c r="E35" s="4">
        <v>1</v>
      </c>
      <c r="F35" s="4" t="s">
        <v>78</v>
      </c>
      <c r="G35" s="4">
        <v>1</v>
      </c>
      <c r="H35" s="4" t="s">
        <v>84</v>
      </c>
      <c r="I35" s="4">
        <v>1.4</v>
      </c>
      <c r="J35" s="4">
        <v>1.107</v>
      </c>
      <c r="K35" s="4">
        <v>1</v>
      </c>
      <c r="L35" s="4"/>
    </row>
    <row r="36" spans="1:12" s="5" customFormat="1">
      <c r="A36" s="4" t="s">
        <v>37</v>
      </c>
      <c r="B36" s="4" t="s">
        <v>46</v>
      </c>
      <c r="C36" s="4" t="s">
        <v>47</v>
      </c>
      <c r="D36" s="4" t="s">
        <v>11</v>
      </c>
      <c r="E36" s="4">
        <v>1</v>
      </c>
      <c r="F36" s="4" t="s">
        <v>78</v>
      </c>
      <c r="G36" s="4">
        <v>0</v>
      </c>
      <c r="H36" s="4" t="s">
        <v>85</v>
      </c>
      <c r="I36" s="4">
        <v>1.4</v>
      </c>
      <c r="J36" s="4">
        <v>1.216</v>
      </c>
      <c r="K36" s="4">
        <v>1</v>
      </c>
      <c r="L36" s="4"/>
    </row>
    <row r="37" spans="1:12" s="5" customFormat="1">
      <c r="A37" s="3" t="s">
        <v>37</v>
      </c>
      <c r="B37" s="4" t="s">
        <v>46</v>
      </c>
      <c r="C37" s="4" t="s">
        <v>94</v>
      </c>
      <c r="D37" s="4" t="s">
        <v>11</v>
      </c>
      <c r="E37" s="4">
        <v>1</v>
      </c>
      <c r="F37" s="4" t="s">
        <v>78</v>
      </c>
      <c r="G37" s="4">
        <v>0</v>
      </c>
      <c r="H37" s="4" t="s">
        <v>85</v>
      </c>
      <c r="I37" s="4">
        <v>1.8</v>
      </c>
      <c r="J37" s="4" t="s">
        <v>148</v>
      </c>
      <c r="K37" s="4">
        <v>1</v>
      </c>
      <c r="L37" s="4"/>
    </row>
    <row r="38" spans="1:12" s="5" customFormat="1">
      <c r="A38" s="4" t="s">
        <v>37</v>
      </c>
      <c r="B38" s="4" t="s">
        <v>48</v>
      </c>
      <c r="C38" s="4" t="s">
        <v>79</v>
      </c>
      <c r="D38" s="4" t="s">
        <v>11</v>
      </c>
      <c r="E38" s="4">
        <v>1</v>
      </c>
      <c r="F38" s="4" t="s">
        <v>78</v>
      </c>
      <c r="G38" s="4">
        <v>1</v>
      </c>
      <c r="H38" s="4" t="s">
        <v>84</v>
      </c>
      <c r="I38" s="4">
        <v>0.1</v>
      </c>
      <c r="J38" s="11">
        <v>1.492</v>
      </c>
      <c r="K38" s="4">
        <v>1</v>
      </c>
      <c r="L38" s="4"/>
    </row>
    <row r="39" spans="1:12" s="5" customFormat="1">
      <c r="A39" s="4" t="s">
        <v>37</v>
      </c>
      <c r="B39" s="4" t="s">
        <v>48</v>
      </c>
      <c r="C39" s="4" t="s">
        <v>49</v>
      </c>
      <c r="D39" s="4" t="s">
        <v>11</v>
      </c>
      <c r="E39" s="4">
        <v>1</v>
      </c>
      <c r="F39" s="4" t="s">
        <v>78</v>
      </c>
      <c r="G39" s="4">
        <v>1</v>
      </c>
      <c r="H39" s="4" t="s">
        <v>84</v>
      </c>
      <c r="I39" s="4">
        <v>1</v>
      </c>
      <c r="J39" s="4">
        <v>0.95799999999999996</v>
      </c>
      <c r="K39" s="4">
        <v>1</v>
      </c>
      <c r="L39" s="4"/>
    </row>
    <row r="40" spans="1:12" s="5" customFormat="1">
      <c r="A40" s="4" t="s">
        <v>37</v>
      </c>
      <c r="B40" s="4" t="s">
        <v>50</v>
      </c>
      <c r="C40" s="4" t="s">
        <v>80</v>
      </c>
      <c r="D40" s="4" t="s">
        <v>11</v>
      </c>
      <c r="E40" s="4">
        <v>1</v>
      </c>
      <c r="F40" s="4" t="s">
        <v>78</v>
      </c>
      <c r="G40" s="4">
        <v>0</v>
      </c>
      <c r="H40" s="4" t="s">
        <v>85</v>
      </c>
      <c r="I40" s="4">
        <v>2.2999999999999998</v>
      </c>
      <c r="J40" s="4" t="s">
        <v>148</v>
      </c>
      <c r="K40" s="4">
        <v>3</v>
      </c>
      <c r="L40" s="1" t="s">
        <v>151</v>
      </c>
    </row>
    <row r="41" spans="1:12" s="5" customFormat="1">
      <c r="A41" s="4" t="s">
        <v>37</v>
      </c>
      <c r="B41" s="4" t="s">
        <v>50</v>
      </c>
      <c r="C41" s="4" t="s">
        <v>88</v>
      </c>
      <c r="D41" s="4" t="s">
        <v>11</v>
      </c>
      <c r="E41" s="4">
        <v>1</v>
      </c>
      <c r="F41" s="4" t="s">
        <v>78</v>
      </c>
      <c r="G41" s="4">
        <v>0</v>
      </c>
      <c r="H41" s="4" t="s">
        <v>85</v>
      </c>
      <c r="I41" s="4">
        <v>15.5</v>
      </c>
      <c r="J41" s="4">
        <v>0.68799999999999994</v>
      </c>
      <c r="K41" s="4">
        <v>2</v>
      </c>
      <c r="L41" s="1"/>
    </row>
    <row r="42" spans="1:12" s="5" customFormat="1">
      <c r="A42" s="4" t="s">
        <v>37</v>
      </c>
      <c r="B42" s="4" t="s">
        <v>50</v>
      </c>
      <c r="C42" s="4" t="s">
        <v>96</v>
      </c>
      <c r="D42" s="4" t="s">
        <v>11</v>
      </c>
      <c r="E42" s="4">
        <v>1</v>
      </c>
      <c r="F42" s="4" t="s">
        <v>78</v>
      </c>
      <c r="G42" s="4">
        <v>0</v>
      </c>
      <c r="H42" s="4" t="s">
        <v>85</v>
      </c>
      <c r="I42" s="4">
        <v>2.5</v>
      </c>
      <c r="J42" s="4">
        <v>0.48499999999999999</v>
      </c>
      <c r="K42" s="4">
        <v>1</v>
      </c>
      <c r="L42" s="1"/>
    </row>
    <row r="43" spans="1:12" s="5" customFormat="1">
      <c r="A43" s="3" t="s">
        <v>37</v>
      </c>
      <c r="B43" s="4" t="s">
        <v>50</v>
      </c>
      <c r="C43" s="4" t="s">
        <v>51</v>
      </c>
      <c r="D43" s="4" t="s">
        <v>11</v>
      </c>
      <c r="E43" s="4">
        <v>1</v>
      </c>
      <c r="F43" s="4" t="s">
        <v>78</v>
      </c>
      <c r="G43" s="4">
        <v>0</v>
      </c>
      <c r="H43" s="4" t="s">
        <v>85</v>
      </c>
      <c r="I43" s="4">
        <v>9.6</v>
      </c>
      <c r="J43" s="4">
        <v>1.0449999999999999</v>
      </c>
      <c r="K43" s="4">
        <v>2</v>
      </c>
    </row>
    <row r="44" spans="1:12" s="5" customFormat="1">
      <c r="A44" s="4" t="s">
        <v>37</v>
      </c>
      <c r="B44" s="4" t="s">
        <v>50</v>
      </c>
      <c r="C44" s="4" t="s">
        <v>92</v>
      </c>
      <c r="D44" s="4" t="s">
        <v>11</v>
      </c>
      <c r="E44" s="4">
        <v>1</v>
      </c>
      <c r="F44" s="4" t="s">
        <v>78</v>
      </c>
      <c r="G44" s="4">
        <v>0</v>
      </c>
      <c r="H44" s="4" t="s">
        <v>85</v>
      </c>
      <c r="I44" s="4">
        <v>4.0999999999999996</v>
      </c>
      <c r="J44" s="4">
        <v>0.59799999999999998</v>
      </c>
      <c r="K44" s="4">
        <v>1</v>
      </c>
      <c r="L44" s="4"/>
    </row>
    <row r="45" spans="1:12" s="5" customFormat="1">
      <c r="A45" s="4" t="s">
        <v>37</v>
      </c>
      <c r="B45" s="4" t="s">
        <v>50</v>
      </c>
      <c r="C45" s="4" t="s">
        <v>52</v>
      </c>
      <c r="D45" s="4" t="s">
        <v>11</v>
      </c>
      <c r="E45" s="4">
        <v>1</v>
      </c>
      <c r="F45" s="4" t="s">
        <v>78</v>
      </c>
      <c r="G45" s="4">
        <v>0</v>
      </c>
      <c r="H45" s="4" t="s">
        <v>85</v>
      </c>
      <c r="I45" s="4">
        <v>7.8</v>
      </c>
      <c r="J45" s="4">
        <v>0.6</v>
      </c>
      <c r="K45" s="4">
        <v>2</v>
      </c>
      <c r="L45" s="4" t="s">
        <v>155</v>
      </c>
    </row>
    <row r="46" spans="1:12" s="5" customFormat="1">
      <c r="A46" s="4" t="s">
        <v>37</v>
      </c>
      <c r="B46" s="4" t="s">
        <v>50</v>
      </c>
      <c r="C46" s="4" t="s">
        <v>53</v>
      </c>
      <c r="D46" s="4" t="s">
        <v>11</v>
      </c>
      <c r="E46" s="4">
        <v>1</v>
      </c>
      <c r="F46" s="4" t="s">
        <v>78</v>
      </c>
      <c r="G46" s="4">
        <v>0</v>
      </c>
      <c r="H46" s="4" t="s">
        <v>85</v>
      </c>
      <c r="I46" s="4">
        <v>2.2999999999999998</v>
      </c>
      <c r="J46" s="4">
        <v>0.82199999999999995</v>
      </c>
      <c r="K46" s="4">
        <v>1</v>
      </c>
      <c r="L46" s="4"/>
    </row>
    <row r="47" spans="1:12" s="5" customFormat="1">
      <c r="A47" s="4" t="s">
        <v>37</v>
      </c>
      <c r="B47" s="4" t="s">
        <v>54</v>
      </c>
      <c r="C47" s="4" t="s">
        <v>55</v>
      </c>
      <c r="D47" s="4" t="s">
        <v>11</v>
      </c>
      <c r="E47" s="4">
        <v>1</v>
      </c>
      <c r="F47" s="4" t="s">
        <v>78</v>
      </c>
      <c r="G47" s="4">
        <v>1</v>
      </c>
      <c r="H47" s="4" t="s">
        <v>84</v>
      </c>
      <c r="I47" s="4">
        <v>2.2999999999999998</v>
      </c>
      <c r="J47" s="4">
        <v>1.0569999999999999</v>
      </c>
      <c r="K47" s="4">
        <v>1</v>
      </c>
      <c r="L47" s="4"/>
    </row>
    <row r="48" spans="1:12" s="5" customFormat="1">
      <c r="A48" s="3" t="s">
        <v>104</v>
      </c>
      <c r="B48" s="4" t="s">
        <v>56</v>
      </c>
      <c r="C48" s="4" t="s">
        <v>57</v>
      </c>
      <c r="D48" s="4" t="s">
        <v>11</v>
      </c>
      <c r="E48" s="4">
        <v>1</v>
      </c>
      <c r="F48" s="4" t="s">
        <v>78</v>
      </c>
      <c r="G48" s="4">
        <v>1</v>
      </c>
      <c r="H48" s="4" t="s">
        <v>84</v>
      </c>
      <c r="I48" s="4">
        <v>8</v>
      </c>
      <c r="J48" s="4">
        <v>0.96499999999999997</v>
      </c>
      <c r="K48" s="4">
        <v>1</v>
      </c>
      <c r="L48" s="4"/>
    </row>
    <row r="49" spans="1:12" s="5" customFormat="1">
      <c r="A49" s="4" t="s">
        <v>37</v>
      </c>
      <c r="B49" s="4" t="s">
        <v>56</v>
      </c>
      <c r="C49" s="4" t="s">
        <v>58</v>
      </c>
      <c r="D49" s="4" t="s">
        <v>11</v>
      </c>
      <c r="E49" s="4">
        <v>1</v>
      </c>
      <c r="F49" s="4" t="s">
        <v>78</v>
      </c>
      <c r="G49" s="4">
        <v>1</v>
      </c>
      <c r="H49" s="4" t="s">
        <v>84</v>
      </c>
      <c r="I49" s="4">
        <v>1</v>
      </c>
      <c r="J49" s="4">
        <v>1.1399999999999999</v>
      </c>
      <c r="K49" s="4">
        <v>1</v>
      </c>
      <c r="L49" s="4"/>
    </row>
    <row r="50" spans="1:12" s="5" customFormat="1">
      <c r="A50" s="3" t="s">
        <v>37</v>
      </c>
      <c r="B50" s="4" t="s">
        <v>59</v>
      </c>
      <c r="C50" s="4" t="s">
        <v>60</v>
      </c>
      <c r="D50" s="4" t="s">
        <v>11</v>
      </c>
      <c r="E50" s="4">
        <v>1</v>
      </c>
      <c r="F50" s="4" t="s">
        <v>78</v>
      </c>
      <c r="G50" s="4">
        <v>0</v>
      </c>
      <c r="H50" s="4" t="s">
        <v>85</v>
      </c>
      <c r="I50" s="4">
        <v>30</v>
      </c>
      <c r="J50" s="4">
        <v>0.747</v>
      </c>
      <c r="K50" s="4">
        <v>1</v>
      </c>
      <c r="L50" s="4"/>
    </row>
    <row r="51" spans="1:12" s="5" customFormat="1">
      <c r="A51" s="4" t="s">
        <v>37</v>
      </c>
      <c r="B51" s="4" t="s">
        <v>59</v>
      </c>
      <c r="C51" s="4" t="s">
        <v>61</v>
      </c>
      <c r="D51" s="4" t="s">
        <v>11</v>
      </c>
      <c r="E51" s="4">
        <v>1</v>
      </c>
      <c r="F51" s="4" t="s">
        <v>78</v>
      </c>
      <c r="G51" s="4">
        <v>0</v>
      </c>
      <c r="H51" s="4" t="s">
        <v>85</v>
      </c>
      <c r="I51" s="4">
        <v>17.3</v>
      </c>
      <c r="J51" s="11">
        <v>0.66300000000000003</v>
      </c>
      <c r="K51" s="4">
        <v>1</v>
      </c>
      <c r="L51" s="4"/>
    </row>
    <row r="52" spans="1:12" s="5" customFormat="1">
      <c r="A52" s="4" t="s">
        <v>37</v>
      </c>
      <c r="B52" s="4" t="s">
        <v>59</v>
      </c>
      <c r="C52" s="4" t="s">
        <v>62</v>
      </c>
      <c r="D52" s="4" t="s">
        <v>11</v>
      </c>
      <c r="E52" s="4">
        <v>1</v>
      </c>
      <c r="F52" s="4" t="s">
        <v>78</v>
      </c>
      <c r="G52" s="4">
        <v>0</v>
      </c>
      <c r="H52" s="4" t="s">
        <v>85</v>
      </c>
      <c r="I52" s="4">
        <v>24.3</v>
      </c>
      <c r="J52" s="4">
        <v>0.65200000000000002</v>
      </c>
      <c r="K52" s="4">
        <v>1</v>
      </c>
      <c r="L52" s="4"/>
    </row>
    <row r="53" spans="1:12" s="5" customFormat="1">
      <c r="A53" s="3" t="s">
        <v>37</v>
      </c>
      <c r="B53" s="4" t="s">
        <v>59</v>
      </c>
      <c r="C53" s="4" t="s">
        <v>63</v>
      </c>
      <c r="D53" s="4" t="s">
        <v>11</v>
      </c>
      <c r="E53" s="4">
        <v>1</v>
      </c>
      <c r="F53" s="4" t="s">
        <v>78</v>
      </c>
      <c r="G53" s="4">
        <v>0</v>
      </c>
      <c r="H53" s="4" t="s">
        <v>85</v>
      </c>
      <c r="I53" s="4">
        <v>18</v>
      </c>
      <c r="J53" s="4">
        <v>0.61299999999999999</v>
      </c>
      <c r="K53" s="4">
        <v>3</v>
      </c>
      <c r="L53" s="4" t="s">
        <v>156</v>
      </c>
    </row>
    <row r="54" spans="1:12" s="5" customFormat="1">
      <c r="A54" s="3" t="s">
        <v>37</v>
      </c>
      <c r="B54" s="4" t="s">
        <v>59</v>
      </c>
      <c r="C54" s="4" t="s">
        <v>64</v>
      </c>
      <c r="D54" s="4" t="s">
        <v>11</v>
      </c>
      <c r="E54" s="4">
        <v>1</v>
      </c>
      <c r="F54" s="4" t="s">
        <v>78</v>
      </c>
      <c r="G54" s="4">
        <v>0</v>
      </c>
      <c r="H54" s="4" t="s">
        <v>85</v>
      </c>
      <c r="I54" s="4">
        <v>9.9</v>
      </c>
      <c r="J54" s="11">
        <v>0.69</v>
      </c>
      <c r="K54" s="4">
        <v>1</v>
      </c>
      <c r="L54" s="4"/>
    </row>
    <row r="55" spans="1:12" s="5" customFormat="1">
      <c r="A55" s="4" t="s">
        <v>37</v>
      </c>
      <c r="B55" s="4" t="s">
        <v>59</v>
      </c>
      <c r="C55" s="4" t="s">
        <v>65</v>
      </c>
      <c r="D55" s="4" t="s">
        <v>11</v>
      </c>
      <c r="E55" s="4">
        <v>1</v>
      </c>
      <c r="F55" s="4" t="s">
        <v>78</v>
      </c>
      <c r="G55" s="4">
        <v>0</v>
      </c>
      <c r="H55" s="4" t="s">
        <v>85</v>
      </c>
      <c r="I55" s="4">
        <v>29.6</v>
      </c>
      <c r="J55" s="4" t="s">
        <v>148</v>
      </c>
      <c r="K55" s="4">
        <v>2</v>
      </c>
      <c r="L55" s="4"/>
    </row>
    <row r="56" spans="1:12" s="5" customFormat="1">
      <c r="A56" s="4" t="s">
        <v>37</v>
      </c>
      <c r="B56" s="4" t="s">
        <v>59</v>
      </c>
      <c r="C56" s="4" t="s">
        <v>66</v>
      </c>
      <c r="D56" s="4" t="s">
        <v>11</v>
      </c>
      <c r="E56" s="4">
        <v>1</v>
      </c>
      <c r="F56" s="4" t="s">
        <v>78</v>
      </c>
      <c r="G56" s="4">
        <v>0</v>
      </c>
      <c r="H56" s="4" t="s">
        <v>85</v>
      </c>
      <c r="I56" s="4">
        <v>14.8</v>
      </c>
      <c r="J56" s="4">
        <v>0.72</v>
      </c>
      <c r="K56" s="4">
        <v>2</v>
      </c>
      <c r="L56" s="4"/>
    </row>
    <row r="57" spans="1:12" s="5" customFormat="1">
      <c r="A57" s="4" t="s">
        <v>37</v>
      </c>
      <c r="B57" s="4" t="s">
        <v>59</v>
      </c>
      <c r="C57" s="4" t="s">
        <v>67</v>
      </c>
      <c r="D57" s="4" t="s">
        <v>11</v>
      </c>
      <c r="E57" s="4">
        <v>1</v>
      </c>
      <c r="F57" s="4" t="s">
        <v>78</v>
      </c>
      <c r="G57" s="4">
        <v>0</v>
      </c>
      <c r="H57" s="4" t="s">
        <v>85</v>
      </c>
      <c r="I57" s="4">
        <v>15</v>
      </c>
      <c r="J57" s="4">
        <v>0.61399999999999999</v>
      </c>
      <c r="K57" s="4">
        <v>2</v>
      </c>
      <c r="L57" s="4" t="s">
        <v>157</v>
      </c>
    </row>
    <row r="58" spans="1:12" s="5" customFormat="1">
      <c r="A58" s="3" t="s">
        <v>37</v>
      </c>
      <c r="B58" s="4" t="s">
        <v>109</v>
      </c>
      <c r="C58" s="4" t="s">
        <v>68</v>
      </c>
      <c r="D58" s="4" t="s">
        <v>11</v>
      </c>
      <c r="E58" s="4">
        <v>1</v>
      </c>
      <c r="F58" s="4" t="s">
        <v>78</v>
      </c>
      <c r="G58" s="4">
        <v>1</v>
      </c>
      <c r="H58" s="4" t="s">
        <v>84</v>
      </c>
      <c r="I58" s="4">
        <v>0.5</v>
      </c>
      <c r="J58" s="4">
        <v>1.2789999999999999</v>
      </c>
      <c r="K58" s="4">
        <v>1</v>
      </c>
      <c r="L58" s="4"/>
    </row>
    <row r="59" spans="1:12" s="5" customFormat="1">
      <c r="A59" s="3" t="s">
        <v>37</v>
      </c>
      <c r="B59" s="4" t="s">
        <v>69</v>
      </c>
      <c r="C59" s="4" t="s">
        <v>70</v>
      </c>
      <c r="D59" s="4" t="s">
        <v>11</v>
      </c>
      <c r="E59" s="4">
        <v>1</v>
      </c>
      <c r="F59" s="4" t="s">
        <v>78</v>
      </c>
      <c r="G59" s="4">
        <v>0</v>
      </c>
      <c r="H59" s="4" t="s">
        <v>85</v>
      </c>
      <c r="I59" s="4">
        <v>3.5</v>
      </c>
      <c r="J59" s="4">
        <v>1.069</v>
      </c>
      <c r="K59" s="4">
        <v>1</v>
      </c>
      <c r="L59" s="4"/>
    </row>
    <row r="60" spans="1:12" s="5" customFormat="1">
      <c r="A60" s="4" t="s">
        <v>37</v>
      </c>
      <c r="B60" s="4" t="s">
        <v>69</v>
      </c>
      <c r="C60" s="4" t="s">
        <v>71</v>
      </c>
      <c r="D60" s="4" t="s">
        <v>11</v>
      </c>
      <c r="E60" s="4">
        <v>1</v>
      </c>
      <c r="F60" s="4" t="s">
        <v>78</v>
      </c>
      <c r="G60" s="4">
        <v>0</v>
      </c>
      <c r="H60" s="4" t="s">
        <v>85</v>
      </c>
      <c r="I60" s="4">
        <v>4</v>
      </c>
      <c r="J60" s="4">
        <v>1.33</v>
      </c>
      <c r="K60" s="4">
        <v>1</v>
      </c>
      <c r="L60" s="4"/>
    </row>
    <row r="61" spans="1:12" s="5" customFormat="1">
      <c r="A61" s="3" t="s">
        <v>37</v>
      </c>
      <c r="B61" s="4" t="s">
        <v>69</v>
      </c>
      <c r="C61" s="4" t="s">
        <v>97</v>
      </c>
      <c r="D61" s="4" t="s">
        <v>11</v>
      </c>
      <c r="E61" s="4">
        <v>1</v>
      </c>
      <c r="F61" s="4" t="s">
        <v>78</v>
      </c>
      <c r="G61" s="4">
        <v>0</v>
      </c>
      <c r="H61" s="4" t="s">
        <v>85</v>
      </c>
      <c r="I61" s="4">
        <v>5.0999999999999996</v>
      </c>
      <c r="J61" s="4">
        <v>0.94799999999999995</v>
      </c>
      <c r="K61" s="4">
        <v>1</v>
      </c>
      <c r="L61" s="4"/>
    </row>
    <row r="62" spans="1:12" s="5" customFormat="1">
      <c r="A62" s="3" t="s">
        <v>37</v>
      </c>
      <c r="B62" s="4" t="s">
        <v>69</v>
      </c>
      <c r="C62" s="4" t="s">
        <v>72</v>
      </c>
      <c r="D62" s="4" t="s">
        <v>11</v>
      </c>
      <c r="E62" s="4">
        <v>1</v>
      </c>
      <c r="F62" s="4" t="s">
        <v>78</v>
      </c>
      <c r="G62" s="4">
        <v>0</v>
      </c>
      <c r="H62" s="4" t="s">
        <v>85</v>
      </c>
      <c r="I62" s="4">
        <v>14.6</v>
      </c>
      <c r="J62" s="4">
        <v>1.5229999999999999</v>
      </c>
      <c r="K62" s="4">
        <v>1</v>
      </c>
      <c r="L62" s="4"/>
    </row>
    <row r="63" spans="1:12" s="5" customFormat="1">
      <c r="A63" s="4" t="s">
        <v>37</v>
      </c>
      <c r="B63" s="4" t="s">
        <v>73</v>
      </c>
      <c r="C63" s="4" t="s">
        <v>74</v>
      </c>
      <c r="D63" s="4" t="s">
        <v>11</v>
      </c>
      <c r="E63" s="4">
        <v>1</v>
      </c>
      <c r="F63" s="4" t="s">
        <v>78</v>
      </c>
      <c r="G63" s="4">
        <v>1</v>
      </c>
      <c r="H63" s="4" t="s">
        <v>84</v>
      </c>
      <c r="I63" s="4">
        <v>1.3</v>
      </c>
      <c r="J63" s="4" t="s">
        <v>148</v>
      </c>
      <c r="K63" s="4">
        <v>1</v>
      </c>
      <c r="L63" s="4"/>
    </row>
    <row r="64" spans="1:12" s="5" customFormat="1">
      <c r="A64" s="3" t="s">
        <v>37</v>
      </c>
      <c r="B64" s="4" t="s">
        <v>73</v>
      </c>
      <c r="C64" s="4" t="s">
        <v>75</v>
      </c>
      <c r="D64" s="4" t="s">
        <v>11</v>
      </c>
      <c r="E64" s="4">
        <v>1</v>
      </c>
      <c r="F64" s="4" t="s">
        <v>78</v>
      </c>
      <c r="G64" s="4">
        <v>1</v>
      </c>
      <c r="H64" s="4" t="s">
        <v>84</v>
      </c>
      <c r="I64" s="4">
        <v>3</v>
      </c>
      <c r="J64" s="4">
        <v>1.1339999999999999</v>
      </c>
      <c r="K64" s="4">
        <v>1</v>
      </c>
      <c r="L64" s="4"/>
    </row>
    <row r="65" spans="1:12" s="5" customFormat="1">
      <c r="A65" s="4" t="s">
        <v>37</v>
      </c>
      <c r="B65" s="4" t="s">
        <v>73</v>
      </c>
      <c r="C65" s="4" t="s">
        <v>76</v>
      </c>
      <c r="D65" s="4" t="s">
        <v>11</v>
      </c>
      <c r="E65" s="4">
        <v>1</v>
      </c>
      <c r="F65" s="4" t="s">
        <v>78</v>
      </c>
      <c r="G65" s="4">
        <v>0</v>
      </c>
      <c r="H65" s="4" t="s">
        <v>85</v>
      </c>
      <c r="I65" s="4">
        <v>8</v>
      </c>
      <c r="J65" s="4">
        <v>1.1539999999999999</v>
      </c>
      <c r="K65" s="4">
        <v>1</v>
      </c>
      <c r="L65" s="4"/>
    </row>
    <row r="66" spans="1:12" s="5" customFormat="1">
      <c r="A66" s="4" t="s">
        <v>37</v>
      </c>
      <c r="B66" s="4" t="s">
        <v>73</v>
      </c>
      <c r="C66" s="4" t="s">
        <v>77</v>
      </c>
      <c r="D66" s="4" t="s">
        <v>11</v>
      </c>
      <c r="E66" s="4">
        <v>1</v>
      </c>
      <c r="F66" s="4" t="s">
        <v>78</v>
      </c>
      <c r="G66" s="4">
        <v>1</v>
      </c>
      <c r="H66" s="4" t="s">
        <v>84</v>
      </c>
      <c r="I66" s="4">
        <v>1</v>
      </c>
      <c r="J66" s="4">
        <v>1.1579999999999999</v>
      </c>
      <c r="K66" s="4">
        <v>1</v>
      </c>
      <c r="L66" s="4"/>
    </row>
    <row r="67" spans="1:12" s="5" customFormat="1">
      <c r="A67" s="3" t="s">
        <v>100</v>
      </c>
      <c r="B67" s="4" t="s">
        <v>101</v>
      </c>
      <c r="C67" s="4" t="s">
        <v>87</v>
      </c>
      <c r="D67" s="4" t="s">
        <v>6</v>
      </c>
      <c r="E67" s="4">
        <v>0</v>
      </c>
      <c r="F67" s="4" t="s">
        <v>83</v>
      </c>
      <c r="G67" s="4">
        <v>0</v>
      </c>
      <c r="H67" s="4" t="s">
        <v>85</v>
      </c>
      <c r="I67" s="4">
        <v>8.8000000000000007</v>
      </c>
      <c r="J67" s="4">
        <v>1.4890000000000001</v>
      </c>
      <c r="K67" s="4">
        <v>1</v>
      </c>
      <c r="L67" s="4"/>
    </row>
  </sheetData>
  <sortState xmlns:xlrd2="http://schemas.microsoft.com/office/spreadsheetml/2017/richdata2" ref="A2:J67">
    <sortCondition ref="A2:A67"/>
    <sortCondition ref="B2:B67"/>
    <sortCondition ref="C2:C67"/>
  </sortState>
  <phoneticPr fontId="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43BC5-10D5-4D9A-880E-3EE5F15C9405}">
  <dimension ref="A1:K30"/>
  <sheetViews>
    <sheetView zoomScale="85" zoomScaleNormal="85" workbookViewId="0">
      <selection activeCell="J1" sqref="J1"/>
    </sheetView>
  </sheetViews>
  <sheetFormatPr defaultRowHeight="18"/>
  <cols>
    <col min="1" max="1" width="15.08203125" bestFit="1" customWidth="1"/>
    <col min="2" max="2" width="16.75" bestFit="1" customWidth="1"/>
    <col min="3" max="3" width="15.08203125" bestFit="1" customWidth="1"/>
    <col min="6" max="6" width="11.4140625" bestFit="1" customWidth="1"/>
    <col min="8" max="8" width="13.75" bestFit="1" customWidth="1"/>
    <col min="9" max="9" width="8.6640625" style="9"/>
    <col min="10" max="11" width="8.6640625" style="1"/>
  </cols>
  <sheetData>
    <row r="1" spans="1:11">
      <c r="A1" s="2" t="s">
        <v>0</v>
      </c>
      <c r="B1" s="2" t="s">
        <v>1</v>
      </c>
      <c r="C1" s="2" t="s">
        <v>2</v>
      </c>
      <c r="D1" s="2" t="s">
        <v>110</v>
      </c>
      <c r="E1" s="2" t="s">
        <v>78</v>
      </c>
      <c r="F1" s="2" t="s">
        <v>81</v>
      </c>
      <c r="G1" s="2" t="s">
        <v>146</v>
      </c>
      <c r="H1" s="2" t="s">
        <v>82</v>
      </c>
      <c r="I1" s="7" t="s">
        <v>160</v>
      </c>
      <c r="J1" s="1" t="s">
        <v>161</v>
      </c>
      <c r="K1" s="1" t="s">
        <v>149</v>
      </c>
    </row>
    <row r="2" spans="1:11">
      <c r="A2" s="6" t="s">
        <v>4</v>
      </c>
      <c r="B2" s="6" t="s">
        <v>4</v>
      </c>
      <c r="C2" s="6" t="s">
        <v>5</v>
      </c>
      <c r="D2" s="6" t="s">
        <v>111</v>
      </c>
      <c r="E2" s="6">
        <v>0</v>
      </c>
      <c r="F2" s="6" t="s">
        <v>83</v>
      </c>
      <c r="G2" s="6">
        <v>1</v>
      </c>
      <c r="H2" s="6" t="s">
        <v>84</v>
      </c>
      <c r="I2" s="8">
        <v>5</v>
      </c>
      <c r="J2" s="12">
        <v>1.6580226904376012</v>
      </c>
      <c r="K2" s="6">
        <v>1</v>
      </c>
    </row>
    <row r="3" spans="1:11">
      <c r="A3" s="6" t="s">
        <v>4</v>
      </c>
      <c r="B3" s="6" t="s">
        <v>4</v>
      </c>
      <c r="C3" s="6" t="s">
        <v>8</v>
      </c>
      <c r="D3" s="6" t="s">
        <v>111</v>
      </c>
      <c r="E3" s="6">
        <v>0</v>
      </c>
      <c r="F3" s="6" t="s">
        <v>83</v>
      </c>
      <c r="G3" s="6">
        <v>1</v>
      </c>
      <c r="H3" s="6" t="s">
        <v>84</v>
      </c>
      <c r="I3" s="8">
        <v>3.5666666666666664</v>
      </c>
      <c r="J3" s="4">
        <v>1.546</v>
      </c>
      <c r="K3" s="6">
        <v>1</v>
      </c>
    </row>
    <row r="4" spans="1:11">
      <c r="A4" s="6" t="s">
        <v>103</v>
      </c>
      <c r="B4" s="6" t="s">
        <v>103</v>
      </c>
      <c r="C4" s="6" t="s">
        <v>122</v>
      </c>
      <c r="D4" s="6" t="s">
        <v>112</v>
      </c>
      <c r="E4" s="6">
        <v>1</v>
      </c>
      <c r="F4" s="6" t="s">
        <v>78</v>
      </c>
      <c r="G4" s="6">
        <v>0</v>
      </c>
      <c r="H4" s="6" t="s">
        <v>85</v>
      </c>
      <c r="I4" s="8">
        <v>7.3400000000000007</v>
      </c>
      <c r="J4" s="4">
        <v>0.86799999999999999</v>
      </c>
      <c r="K4" s="6">
        <v>1</v>
      </c>
    </row>
    <row r="5" spans="1:11">
      <c r="A5" s="6" t="s">
        <v>103</v>
      </c>
      <c r="B5" s="6" t="s">
        <v>103</v>
      </c>
      <c r="C5" s="6" t="s">
        <v>123</v>
      </c>
      <c r="D5" s="6" t="s">
        <v>121</v>
      </c>
      <c r="E5" s="6">
        <v>1</v>
      </c>
      <c r="F5" s="6" t="s">
        <v>78</v>
      </c>
      <c r="G5" s="6">
        <v>1</v>
      </c>
      <c r="H5" s="6" t="s">
        <v>84</v>
      </c>
      <c r="I5" s="8">
        <v>0.65</v>
      </c>
      <c r="J5" s="4">
        <v>1.0660000000000001</v>
      </c>
      <c r="K5" s="6">
        <v>1</v>
      </c>
    </row>
    <row r="6" spans="1:11">
      <c r="A6" s="6" t="s">
        <v>9</v>
      </c>
      <c r="B6" s="6" t="s">
        <v>9</v>
      </c>
      <c r="C6" s="6" t="s">
        <v>10</v>
      </c>
      <c r="D6" s="6" t="s">
        <v>112</v>
      </c>
      <c r="E6" s="6">
        <v>1</v>
      </c>
      <c r="F6" s="6" t="s">
        <v>78</v>
      </c>
      <c r="G6" s="6">
        <v>1</v>
      </c>
      <c r="H6" s="6" t="s">
        <v>84</v>
      </c>
      <c r="I6" s="8">
        <v>1</v>
      </c>
      <c r="J6" s="4">
        <v>1.1259999999999999</v>
      </c>
      <c r="K6" s="6">
        <v>1</v>
      </c>
    </row>
    <row r="7" spans="1:11">
      <c r="A7" s="6" t="s">
        <v>106</v>
      </c>
      <c r="B7" s="6" t="s">
        <v>106</v>
      </c>
      <c r="C7" s="6" t="s">
        <v>142</v>
      </c>
      <c r="D7" s="6" t="s">
        <v>121</v>
      </c>
      <c r="E7" s="6">
        <v>1</v>
      </c>
      <c r="F7" s="6" t="s">
        <v>78</v>
      </c>
      <c r="G7" s="6">
        <v>1</v>
      </c>
      <c r="H7" s="6" t="s">
        <v>84</v>
      </c>
      <c r="I7" s="8">
        <v>4.0999999999999996</v>
      </c>
      <c r="J7" s="4">
        <v>1.07</v>
      </c>
      <c r="K7" s="6">
        <v>1</v>
      </c>
    </row>
    <row r="8" spans="1:11">
      <c r="A8" s="6" t="s">
        <v>13</v>
      </c>
      <c r="B8" s="6" t="s">
        <v>13</v>
      </c>
      <c r="C8" s="6" t="s">
        <v>14</v>
      </c>
      <c r="D8" s="6" t="s">
        <v>111</v>
      </c>
      <c r="E8" s="6">
        <v>0</v>
      </c>
      <c r="F8" s="6" t="s">
        <v>83</v>
      </c>
      <c r="G8" s="6">
        <v>1</v>
      </c>
      <c r="H8" s="6" t="s">
        <v>84</v>
      </c>
      <c r="I8" s="8">
        <v>2.7</v>
      </c>
      <c r="J8" s="4">
        <v>1.2250000000000001</v>
      </c>
      <c r="K8" s="6">
        <v>1</v>
      </c>
    </row>
    <row r="9" spans="1:11">
      <c r="A9" s="6" t="s">
        <v>13</v>
      </c>
      <c r="B9" s="6" t="s">
        <v>13</v>
      </c>
      <c r="C9" s="6" t="s">
        <v>113</v>
      </c>
      <c r="D9" s="6" t="s">
        <v>111</v>
      </c>
      <c r="E9" s="6">
        <v>0</v>
      </c>
      <c r="F9" s="6" t="s">
        <v>83</v>
      </c>
      <c r="G9" s="6">
        <v>1</v>
      </c>
      <c r="H9" s="6" t="s">
        <v>84</v>
      </c>
      <c r="I9" s="8">
        <v>2.2000000000000002</v>
      </c>
      <c r="J9" s="4">
        <v>1.198</v>
      </c>
      <c r="K9" s="6">
        <v>1</v>
      </c>
    </row>
    <row r="10" spans="1:11">
      <c r="A10" s="6" t="s">
        <v>13</v>
      </c>
      <c r="B10" s="6" t="s">
        <v>13</v>
      </c>
      <c r="C10" s="6" t="s">
        <v>16</v>
      </c>
      <c r="D10" s="6" t="s">
        <v>111</v>
      </c>
      <c r="E10" s="6">
        <v>0</v>
      </c>
      <c r="F10" s="6" t="s">
        <v>83</v>
      </c>
      <c r="G10" s="6">
        <v>1</v>
      </c>
      <c r="H10" s="6" t="s">
        <v>84</v>
      </c>
      <c r="I10" s="8">
        <v>3.9</v>
      </c>
      <c r="J10" s="4">
        <v>1.145</v>
      </c>
      <c r="K10" s="6">
        <v>1</v>
      </c>
    </row>
    <row r="11" spans="1:11">
      <c r="A11" s="6" t="s">
        <v>13</v>
      </c>
      <c r="B11" s="6" t="s">
        <v>13</v>
      </c>
      <c r="C11" s="6" t="s">
        <v>114</v>
      </c>
      <c r="D11" s="6" t="s">
        <v>111</v>
      </c>
      <c r="E11" s="6">
        <v>0</v>
      </c>
      <c r="F11" s="6" t="s">
        <v>83</v>
      </c>
      <c r="G11" s="6">
        <v>1</v>
      </c>
      <c r="H11" s="6" t="s">
        <v>84</v>
      </c>
      <c r="I11" s="8">
        <v>4.3899999999999997</v>
      </c>
      <c r="J11" s="4">
        <v>1.2749999999999999</v>
      </c>
      <c r="K11" s="6">
        <v>2</v>
      </c>
    </row>
    <row r="12" spans="1:11">
      <c r="A12" s="6" t="s">
        <v>13</v>
      </c>
      <c r="B12" s="6" t="s">
        <v>13</v>
      </c>
      <c r="C12" s="6" t="s">
        <v>115</v>
      </c>
      <c r="D12" s="6" t="s">
        <v>111</v>
      </c>
      <c r="E12" s="6">
        <v>0</v>
      </c>
      <c r="F12" s="6" t="s">
        <v>83</v>
      </c>
      <c r="G12" s="6">
        <v>1</v>
      </c>
      <c r="H12" s="6" t="s">
        <v>84</v>
      </c>
      <c r="I12" s="8">
        <v>5.26</v>
      </c>
      <c r="J12" s="4">
        <v>1.1259999999999999</v>
      </c>
      <c r="K12" s="6">
        <v>1</v>
      </c>
    </row>
    <row r="13" spans="1:11">
      <c r="A13" s="6" t="s">
        <v>13</v>
      </c>
      <c r="B13" s="6" t="s">
        <v>13</v>
      </c>
      <c r="C13" s="6" t="s">
        <v>116</v>
      </c>
      <c r="D13" s="6" t="s">
        <v>111</v>
      </c>
      <c r="E13" s="6">
        <v>0</v>
      </c>
      <c r="F13" s="6" t="s">
        <v>83</v>
      </c>
      <c r="G13" s="6">
        <v>1</v>
      </c>
      <c r="H13" s="6" t="s">
        <v>84</v>
      </c>
      <c r="I13" s="8">
        <v>2.9</v>
      </c>
      <c r="J13" s="4">
        <v>1.1160000000000001</v>
      </c>
      <c r="K13" s="6">
        <v>1</v>
      </c>
    </row>
    <row r="14" spans="1:11">
      <c r="A14" s="6" t="s">
        <v>13</v>
      </c>
      <c r="B14" s="6" t="s">
        <v>13</v>
      </c>
      <c r="C14" s="6" t="s">
        <v>117</v>
      </c>
      <c r="D14" s="6" t="s">
        <v>111</v>
      </c>
      <c r="E14" s="6">
        <v>0</v>
      </c>
      <c r="F14" s="6" t="s">
        <v>83</v>
      </c>
      <c r="G14" s="6">
        <v>1</v>
      </c>
      <c r="H14" s="6" t="s">
        <v>84</v>
      </c>
      <c r="I14" s="8">
        <v>4.708333333333333</v>
      </c>
      <c r="J14" s="4">
        <v>1.4370000000000001</v>
      </c>
      <c r="K14" s="6">
        <v>1</v>
      </c>
    </row>
    <row r="15" spans="1:11">
      <c r="A15" s="6" t="s">
        <v>13</v>
      </c>
      <c r="B15" s="6" t="s">
        <v>13</v>
      </c>
      <c r="C15" s="6" t="s">
        <v>118</v>
      </c>
      <c r="D15" s="6" t="s">
        <v>111</v>
      </c>
      <c r="E15" s="6">
        <v>0</v>
      </c>
      <c r="F15" s="6" t="s">
        <v>83</v>
      </c>
      <c r="G15" s="6">
        <v>1</v>
      </c>
      <c r="H15" s="6" t="s">
        <v>84</v>
      </c>
      <c r="I15" s="8">
        <v>2.5999999999999996</v>
      </c>
      <c r="J15" s="4" t="s">
        <v>148</v>
      </c>
      <c r="K15" s="6">
        <v>1</v>
      </c>
    </row>
    <row r="16" spans="1:11">
      <c r="A16" s="6" t="s">
        <v>119</v>
      </c>
      <c r="B16" s="6" t="s">
        <v>119</v>
      </c>
      <c r="C16" s="6" t="s">
        <v>120</v>
      </c>
      <c r="D16" s="6" t="s">
        <v>121</v>
      </c>
      <c r="E16" s="6">
        <v>1</v>
      </c>
      <c r="F16" s="6" t="s">
        <v>78</v>
      </c>
      <c r="G16" s="6">
        <v>0</v>
      </c>
      <c r="H16" s="6" t="s">
        <v>85</v>
      </c>
      <c r="I16" s="8">
        <v>3.75</v>
      </c>
      <c r="J16" s="4">
        <v>1.0229999999999999</v>
      </c>
      <c r="K16" s="6">
        <v>1</v>
      </c>
    </row>
    <row r="17" spans="1:11">
      <c r="A17" s="6" t="s">
        <v>33</v>
      </c>
      <c r="B17" s="6" t="s">
        <v>33</v>
      </c>
      <c r="C17" s="6" t="s">
        <v>143</v>
      </c>
      <c r="D17" s="6" t="s">
        <v>111</v>
      </c>
      <c r="E17" s="6">
        <v>0</v>
      </c>
      <c r="F17" s="6" t="s">
        <v>83</v>
      </c>
      <c r="G17" s="6">
        <v>1</v>
      </c>
      <c r="H17" s="6" t="s">
        <v>84</v>
      </c>
      <c r="I17" s="8">
        <v>8.4</v>
      </c>
      <c r="J17" s="4">
        <v>1.042</v>
      </c>
      <c r="K17" s="6">
        <v>1</v>
      </c>
    </row>
    <row r="18" spans="1:11">
      <c r="A18" s="6" t="s">
        <v>124</v>
      </c>
      <c r="B18" s="6" t="s">
        <v>124</v>
      </c>
      <c r="C18" s="6" t="s">
        <v>125</v>
      </c>
      <c r="D18" s="6" t="s">
        <v>111</v>
      </c>
      <c r="E18" s="6">
        <v>0</v>
      </c>
      <c r="F18" s="6" t="s">
        <v>83</v>
      </c>
      <c r="G18" s="6">
        <v>1</v>
      </c>
      <c r="H18" s="6" t="s">
        <v>84</v>
      </c>
      <c r="I18" s="8">
        <v>7</v>
      </c>
      <c r="J18" s="4">
        <v>1.2909999999999999</v>
      </c>
      <c r="K18" s="6">
        <v>1</v>
      </c>
    </row>
    <row r="19" spans="1:11">
      <c r="A19" s="6" t="s">
        <v>104</v>
      </c>
      <c r="B19" s="6" t="s">
        <v>126</v>
      </c>
      <c r="C19" s="6" t="s">
        <v>127</v>
      </c>
      <c r="D19" s="6" t="s">
        <v>112</v>
      </c>
      <c r="E19" s="6">
        <v>1</v>
      </c>
      <c r="F19" s="6" t="s">
        <v>78</v>
      </c>
      <c r="G19" s="6">
        <v>0</v>
      </c>
      <c r="H19" s="6" t="s">
        <v>85</v>
      </c>
      <c r="I19" s="8">
        <v>1.7</v>
      </c>
      <c r="J19" s="4">
        <v>1.2949999999999999</v>
      </c>
      <c r="K19" s="6">
        <v>1</v>
      </c>
    </row>
    <row r="20" spans="1:11">
      <c r="A20" s="6" t="s">
        <v>104</v>
      </c>
      <c r="B20" s="6" t="s">
        <v>128</v>
      </c>
      <c r="C20" s="6" t="s">
        <v>129</v>
      </c>
      <c r="D20" s="6" t="s">
        <v>112</v>
      </c>
      <c r="E20" s="6">
        <v>1</v>
      </c>
      <c r="F20" s="6" t="s">
        <v>78</v>
      </c>
      <c r="G20" s="6">
        <v>1</v>
      </c>
      <c r="H20" s="6" t="s">
        <v>84</v>
      </c>
      <c r="I20" s="8">
        <v>0.1</v>
      </c>
      <c r="J20" s="11">
        <v>1.492</v>
      </c>
      <c r="K20" s="6">
        <v>1</v>
      </c>
    </row>
    <row r="21" spans="1:11">
      <c r="A21" s="6" t="s">
        <v>104</v>
      </c>
      <c r="B21" s="6" t="s">
        <v>130</v>
      </c>
      <c r="C21" s="6" t="s">
        <v>131</v>
      </c>
      <c r="D21" s="6" t="s">
        <v>112</v>
      </c>
      <c r="E21" s="6">
        <v>1</v>
      </c>
      <c r="F21" s="6" t="s">
        <v>78</v>
      </c>
      <c r="G21" s="6">
        <v>0</v>
      </c>
      <c r="H21" s="6" t="s">
        <v>85</v>
      </c>
      <c r="I21" s="8">
        <v>6.0666666666666664</v>
      </c>
      <c r="J21" s="4">
        <v>1.0449999999999999</v>
      </c>
      <c r="K21" s="6">
        <v>2</v>
      </c>
    </row>
    <row r="22" spans="1:11">
      <c r="A22" s="6" t="s">
        <v>104</v>
      </c>
      <c r="B22" s="6" t="s">
        <v>130</v>
      </c>
      <c r="C22" s="6" t="s">
        <v>132</v>
      </c>
      <c r="D22" s="6" t="s">
        <v>112</v>
      </c>
      <c r="E22" s="6">
        <v>1</v>
      </c>
      <c r="F22" s="6" t="s">
        <v>78</v>
      </c>
      <c r="G22" s="6">
        <v>0</v>
      </c>
      <c r="H22" s="6" t="s">
        <v>85</v>
      </c>
      <c r="I22" s="8">
        <v>5.5</v>
      </c>
      <c r="J22" s="4">
        <v>0.6</v>
      </c>
      <c r="K22" s="6">
        <v>2</v>
      </c>
    </row>
    <row r="23" spans="1:11">
      <c r="A23" s="6" t="s">
        <v>104</v>
      </c>
      <c r="B23" s="6" t="s">
        <v>133</v>
      </c>
      <c r="C23" s="6" t="s">
        <v>134</v>
      </c>
      <c r="D23" s="6" t="s">
        <v>112</v>
      </c>
      <c r="E23" s="6">
        <v>1</v>
      </c>
      <c r="F23" s="6" t="s">
        <v>78</v>
      </c>
      <c r="G23" s="6">
        <v>1</v>
      </c>
      <c r="H23" s="6" t="s">
        <v>84</v>
      </c>
      <c r="I23" s="8">
        <v>1.3</v>
      </c>
      <c r="J23" s="4">
        <v>1.0569999999999999</v>
      </c>
      <c r="K23" s="6">
        <v>1</v>
      </c>
    </row>
    <row r="24" spans="1:11">
      <c r="A24" s="6" t="s">
        <v>104</v>
      </c>
      <c r="B24" s="6" t="s">
        <v>135</v>
      </c>
      <c r="C24" s="6" t="s">
        <v>144</v>
      </c>
      <c r="D24" s="6" t="s">
        <v>112</v>
      </c>
      <c r="E24" s="6">
        <v>1</v>
      </c>
      <c r="F24" s="6" t="s">
        <v>78</v>
      </c>
      <c r="G24" s="6">
        <v>1</v>
      </c>
      <c r="H24" s="6" t="s">
        <v>84</v>
      </c>
      <c r="I24" s="8">
        <v>8</v>
      </c>
      <c r="J24" s="4">
        <v>0.96499999999999997</v>
      </c>
      <c r="K24" s="6">
        <v>1</v>
      </c>
    </row>
    <row r="25" spans="1:11">
      <c r="A25" s="6" t="s">
        <v>104</v>
      </c>
      <c r="B25" s="6" t="s">
        <v>136</v>
      </c>
      <c r="C25" s="6" t="s">
        <v>137</v>
      </c>
      <c r="D25" s="6" t="s">
        <v>112</v>
      </c>
      <c r="E25" s="6">
        <v>1</v>
      </c>
      <c r="F25" s="6" t="s">
        <v>78</v>
      </c>
      <c r="G25" s="6">
        <v>0</v>
      </c>
      <c r="H25" s="6" t="s">
        <v>85</v>
      </c>
      <c r="I25" s="8">
        <v>17.3</v>
      </c>
      <c r="J25" s="11">
        <v>0.66300000000000003</v>
      </c>
      <c r="K25" s="6">
        <v>1</v>
      </c>
    </row>
    <row r="26" spans="1:11">
      <c r="A26" s="6" t="s">
        <v>104</v>
      </c>
      <c r="B26" s="6" t="s">
        <v>136</v>
      </c>
      <c r="C26" s="6" t="s">
        <v>138</v>
      </c>
      <c r="D26" s="6" t="s">
        <v>112</v>
      </c>
      <c r="E26" s="6">
        <v>1</v>
      </c>
      <c r="F26" s="6" t="s">
        <v>78</v>
      </c>
      <c r="G26" s="6">
        <v>0</v>
      </c>
      <c r="H26" s="6" t="s">
        <v>85</v>
      </c>
      <c r="I26" s="8">
        <v>9.9</v>
      </c>
      <c r="J26" s="10">
        <v>0.69</v>
      </c>
      <c r="K26" s="6">
        <v>1</v>
      </c>
    </row>
    <row r="27" spans="1:11">
      <c r="A27" s="6" t="s">
        <v>104</v>
      </c>
      <c r="B27" s="6" t="s">
        <v>136</v>
      </c>
      <c r="C27" s="6" t="s">
        <v>139</v>
      </c>
      <c r="D27" s="6" t="s">
        <v>112</v>
      </c>
      <c r="E27" s="6">
        <v>1</v>
      </c>
      <c r="F27" s="6" t="s">
        <v>78</v>
      </c>
      <c r="G27" s="6">
        <v>0</v>
      </c>
      <c r="H27" s="6" t="s">
        <v>85</v>
      </c>
      <c r="I27" s="8">
        <v>29.6</v>
      </c>
      <c r="J27" s="4" t="s">
        <v>148</v>
      </c>
      <c r="K27" s="1">
        <v>2</v>
      </c>
    </row>
    <row r="28" spans="1:11">
      <c r="A28" s="6" t="s">
        <v>104</v>
      </c>
      <c r="B28" s="6" t="s">
        <v>136</v>
      </c>
      <c r="C28" s="6" t="s">
        <v>140</v>
      </c>
      <c r="D28" s="6" t="s">
        <v>112</v>
      </c>
      <c r="E28" s="6">
        <v>1</v>
      </c>
      <c r="F28" s="6" t="s">
        <v>78</v>
      </c>
      <c r="G28" s="6">
        <v>0</v>
      </c>
      <c r="H28" s="6" t="s">
        <v>85</v>
      </c>
      <c r="I28" s="8">
        <v>11.450000000000001</v>
      </c>
      <c r="J28" s="4">
        <v>0.72</v>
      </c>
      <c r="K28" s="6">
        <v>2</v>
      </c>
    </row>
    <row r="29" spans="1:11">
      <c r="A29" s="6" t="s">
        <v>104</v>
      </c>
      <c r="B29" s="6" t="s">
        <v>136</v>
      </c>
      <c r="C29" s="6" t="s">
        <v>145</v>
      </c>
      <c r="D29" s="6" t="s">
        <v>112</v>
      </c>
      <c r="E29" s="6">
        <v>1</v>
      </c>
      <c r="F29" s="6" t="s">
        <v>78</v>
      </c>
      <c r="G29" s="6">
        <v>0</v>
      </c>
      <c r="H29" s="6" t="s">
        <v>85</v>
      </c>
      <c r="I29" s="8">
        <v>15.6</v>
      </c>
      <c r="J29" s="4">
        <v>0.61399999999999999</v>
      </c>
      <c r="K29" s="6">
        <v>2</v>
      </c>
    </row>
    <row r="30" spans="1:11">
      <c r="A30" s="6" t="s">
        <v>100</v>
      </c>
      <c r="B30" s="6" t="s">
        <v>100</v>
      </c>
      <c r="C30" s="6" t="s">
        <v>141</v>
      </c>
      <c r="D30" s="6" t="s">
        <v>111</v>
      </c>
      <c r="E30" s="6">
        <v>0</v>
      </c>
      <c r="F30" s="6" t="s">
        <v>83</v>
      </c>
      <c r="G30" s="6">
        <v>0</v>
      </c>
      <c r="H30" s="6" t="s">
        <v>85</v>
      </c>
      <c r="I30" s="8">
        <v>8.8000000000000007</v>
      </c>
      <c r="J30" s="4">
        <v>1.4890000000000001</v>
      </c>
      <c r="K30" s="6">
        <v>1</v>
      </c>
    </row>
  </sheetData>
  <sortState xmlns:xlrd2="http://schemas.microsoft.com/office/spreadsheetml/2017/richdata2" ref="A2:I30">
    <sortCondition ref="A2:A30"/>
    <sortCondition ref="B2:B30"/>
    <sortCondition ref="C2:C30"/>
  </sortState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427B7-915A-4DEB-988E-99763DBC4FC9}">
  <dimension ref="A1:L30"/>
  <sheetViews>
    <sheetView workbookViewId="0">
      <selection activeCell="J2" sqref="J2"/>
    </sheetView>
  </sheetViews>
  <sheetFormatPr defaultRowHeight="18"/>
  <cols>
    <col min="1" max="2" width="13.5" bestFit="1" customWidth="1"/>
    <col min="3" max="3" width="16.25" bestFit="1" customWidth="1"/>
    <col min="10" max="11" width="8.6640625" style="1"/>
    <col min="12" max="12" width="16.83203125" style="1" customWidth="1"/>
  </cols>
  <sheetData>
    <row r="1" spans="1:11">
      <c r="A1" s="2" t="s">
        <v>0</v>
      </c>
      <c r="B1" s="2" t="s">
        <v>1</v>
      </c>
      <c r="C1" s="2" t="s">
        <v>2</v>
      </c>
      <c r="D1" s="1" t="s">
        <v>3</v>
      </c>
      <c r="E1" s="1" t="s">
        <v>78</v>
      </c>
      <c r="F1" s="1" t="s">
        <v>81</v>
      </c>
      <c r="G1" s="1" t="s">
        <v>7</v>
      </c>
      <c r="H1" s="1" t="s">
        <v>82</v>
      </c>
      <c r="I1" s="1" t="s">
        <v>147</v>
      </c>
      <c r="J1" s="1" t="s">
        <v>161</v>
      </c>
      <c r="K1" s="1" t="s">
        <v>149</v>
      </c>
    </row>
    <row r="2" spans="1:11">
      <c r="A2" s="4" t="s">
        <v>102</v>
      </c>
      <c r="B2" s="3" t="s">
        <v>103</v>
      </c>
      <c r="C2" s="4" t="s">
        <v>27</v>
      </c>
      <c r="D2" s="4" t="s">
        <v>11</v>
      </c>
      <c r="E2" s="4">
        <v>1</v>
      </c>
      <c r="F2" s="4" t="s">
        <v>78</v>
      </c>
      <c r="G2" s="4">
        <v>0</v>
      </c>
      <c r="H2" s="4" t="s">
        <v>85</v>
      </c>
      <c r="I2" s="4">
        <v>15</v>
      </c>
      <c r="J2" s="4">
        <v>0.86799999999999999</v>
      </c>
      <c r="K2" s="6">
        <v>1</v>
      </c>
    </row>
    <row r="3" spans="1:11">
      <c r="A3" s="4" t="s">
        <v>102</v>
      </c>
      <c r="B3" s="3" t="s">
        <v>103</v>
      </c>
      <c r="C3" s="4" t="s">
        <v>29</v>
      </c>
      <c r="D3" s="4" t="s">
        <v>22</v>
      </c>
      <c r="E3" s="4">
        <v>1</v>
      </c>
      <c r="F3" s="4" t="s">
        <v>78</v>
      </c>
      <c r="G3" s="4">
        <v>1</v>
      </c>
      <c r="H3" s="4" t="s">
        <v>84</v>
      </c>
      <c r="I3" s="4">
        <v>4.0999999999999996</v>
      </c>
      <c r="J3" s="4">
        <v>1.0660000000000001</v>
      </c>
      <c r="K3" s="6">
        <v>1</v>
      </c>
    </row>
    <row r="4" spans="1:11">
      <c r="A4" s="4" t="s">
        <v>13</v>
      </c>
      <c r="B4" s="3" t="s">
        <v>13</v>
      </c>
      <c r="C4" s="3" t="s">
        <v>14</v>
      </c>
      <c r="D4" s="4" t="s">
        <v>6</v>
      </c>
      <c r="E4" s="4">
        <v>0</v>
      </c>
      <c r="F4" s="4" t="s">
        <v>83</v>
      </c>
      <c r="G4" s="4">
        <v>1</v>
      </c>
      <c r="H4" s="4" t="s">
        <v>84</v>
      </c>
      <c r="I4" s="4">
        <v>2.7</v>
      </c>
      <c r="J4" s="4">
        <v>1.2250000000000001</v>
      </c>
      <c r="K4" s="6">
        <v>1</v>
      </c>
    </row>
    <row r="5" spans="1:11">
      <c r="A5" s="4" t="s">
        <v>13</v>
      </c>
      <c r="B5" s="3" t="s">
        <v>13</v>
      </c>
      <c r="C5" s="4" t="s">
        <v>15</v>
      </c>
      <c r="D5" s="4" t="s">
        <v>6</v>
      </c>
      <c r="E5" s="4">
        <v>0</v>
      </c>
      <c r="F5" s="4" t="s">
        <v>83</v>
      </c>
      <c r="G5" s="4">
        <v>1</v>
      </c>
      <c r="H5" s="4" t="s">
        <v>84</v>
      </c>
      <c r="I5" s="4">
        <v>2.5</v>
      </c>
      <c r="J5" s="4">
        <v>1.198</v>
      </c>
      <c r="K5" s="6">
        <v>1</v>
      </c>
    </row>
    <row r="6" spans="1:11">
      <c r="A6" s="4" t="s">
        <v>13</v>
      </c>
      <c r="B6" s="3" t="s">
        <v>13</v>
      </c>
      <c r="C6" s="3" t="s">
        <v>16</v>
      </c>
      <c r="D6" s="4" t="s">
        <v>6</v>
      </c>
      <c r="E6" s="4">
        <v>0</v>
      </c>
      <c r="F6" s="4" t="s">
        <v>83</v>
      </c>
      <c r="G6" s="4">
        <v>1</v>
      </c>
      <c r="H6" s="4" t="s">
        <v>84</v>
      </c>
      <c r="I6" s="4">
        <v>3.9</v>
      </c>
      <c r="J6" s="4">
        <v>1.145</v>
      </c>
      <c r="K6" s="6">
        <v>1</v>
      </c>
    </row>
    <row r="7" spans="1:11">
      <c r="A7" s="4" t="s">
        <v>24</v>
      </c>
      <c r="B7" s="4" t="s">
        <v>24</v>
      </c>
      <c r="C7" s="4" t="s">
        <v>25</v>
      </c>
      <c r="D7" s="4" t="s">
        <v>22</v>
      </c>
      <c r="E7" s="4">
        <v>1</v>
      </c>
      <c r="F7" s="4" t="s">
        <v>78</v>
      </c>
      <c r="G7" s="4">
        <v>0</v>
      </c>
      <c r="H7" s="4" t="s">
        <v>85</v>
      </c>
      <c r="I7" s="4">
        <v>3.8</v>
      </c>
      <c r="J7" s="4">
        <v>1.0229999999999999</v>
      </c>
      <c r="K7" s="6">
        <v>1</v>
      </c>
    </row>
    <row r="8" spans="1:11">
      <c r="A8" s="4" t="s">
        <v>26</v>
      </c>
      <c r="B8" s="3" t="s">
        <v>26</v>
      </c>
      <c r="C8" s="4" t="s">
        <v>32</v>
      </c>
      <c r="D8" s="4" t="s">
        <v>22</v>
      </c>
      <c r="E8" s="4">
        <v>1</v>
      </c>
      <c r="F8" s="4" t="s">
        <v>78</v>
      </c>
      <c r="G8" s="4">
        <v>0</v>
      </c>
      <c r="H8" s="4" t="s">
        <v>85</v>
      </c>
      <c r="I8" s="4">
        <v>15</v>
      </c>
      <c r="J8" s="4">
        <v>0.70199999999999996</v>
      </c>
      <c r="K8" s="6">
        <v>2</v>
      </c>
    </row>
    <row r="9" spans="1:11">
      <c r="A9" s="4" t="s">
        <v>108</v>
      </c>
      <c r="B9" s="4" t="s">
        <v>33</v>
      </c>
      <c r="C9" s="4" t="s">
        <v>91</v>
      </c>
      <c r="D9" s="4" t="s">
        <v>6</v>
      </c>
      <c r="E9" s="4">
        <v>0</v>
      </c>
      <c r="F9" s="4" t="s">
        <v>83</v>
      </c>
      <c r="G9" s="4">
        <v>1</v>
      </c>
      <c r="H9" s="4" t="s">
        <v>84</v>
      </c>
      <c r="I9" s="4">
        <v>8.4</v>
      </c>
      <c r="J9" s="4">
        <v>1.042</v>
      </c>
      <c r="K9" s="6">
        <v>1</v>
      </c>
    </row>
    <row r="10" spans="1:11">
      <c r="A10" s="4" t="s">
        <v>108</v>
      </c>
      <c r="B10" s="3" t="s">
        <v>33</v>
      </c>
      <c r="C10" s="3" t="s">
        <v>34</v>
      </c>
      <c r="D10" s="4" t="s">
        <v>6</v>
      </c>
      <c r="E10" s="4">
        <v>0</v>
      </c>
      <c r="F10" s="4" t="s">
        <v>83</v>
      </c>
      <c r="G10" s="4">
        <v>1</v>
      </c>
      <c r="H10" s="4" t="s">
        <v>84</v>
      </c>
      <c r="I10" s="4">
        <v>5</v>
      </c>
      <c r="J10" s="4">
        <v>0.95699999999999996</v>
      </c>
      <c r="K10" s="6">
        <v>1</v>
      </c>
    </row>
    <row r="11" spans="1:11">
      <c r="A11" s="4" t="s">
        <v>37</v>
      </c>
      <c r="B11" s="4" t="s">
        <v>38</v>
      </c>
      <c r="C11" s="4" t="s">
        <v>95</v>
      </c>
      <c r="D11" s="4" t="s">
        <v>11</v>
      </c>
      <c r="E11" s="4">
        <v>1</v>
      </c>
      <c r="F11" s="4" t="s">
        <v>78</v>
      </c>
      <c r="G11" s="4">
        <v>1</v>
      </c>
      <c r="H11" s="4" t="s">
        <v>84</v>
      </c>
      <c r="I11" s="4">
        <v>12.6</v>
      </c>
      <c r="J11" s="11">
        <v>0.86399999999999999</v>
      </c>
      <c r="K11" s="6">
        <v>1</v>
      </c>
    </row>
    <row r="12" spans="1:11">
      <c r="A12" s="3" t="s">
        <v>37</v>
      </c>
      <c r="B12" s="4" t="s">
        <v>38</v>
      </c>
      <c r="C12" s="4" t="s">
        <v>42</v>
      </c>
      <c r="D12" s="4" t="s">
        <v>11</v>
      </c>
      <c r="E12" s="4">
        <v>1</v>
      </c>
      <c r="F12" s="4" t="s">
        <v>78</v>
      </c>
      <c r="G12" s="4">
        <v>1</v>
      </c>
      <c r="H12" s="4" t="s">
        <v>84</v>
      </c>
      <c r="I12" s="4">
        <v>1.2</v>
      </c>
      <c r="J12" s="4">
        <v>1.423</v>
      </c>
      <c r="K12" s="6">
        <v>2</v>
      </c>
    </row>
    <row r="13" spans="1:11">
      <c r="A13" s="4" t="s">
        <v>37</v>
      </c>
      <c r="B13" s="4" t="s">
        <v>43</v>
      </c>
      <c r="C13" s="4" t="s">
        <v>44</v>
      </c>
      <c r="D13" s="4" t="s">
        <v>11</v>
      </c>
      <c r="E13" s="4">
        <v>1</v>
      </c>
      <c r="F13" s="4" t="s">
        <v>78</v>
      </c>
      <c r="G13" s="4">
        <v>1</v>
      </c>
      <c r="H13" s="4" t="s">
        <v>84</v>
      </c>
      <c r="I13" s="4">
        <v>1</v>
      </c>
      <c r="J13" s="6">
        <v>1.0549999999999999</v>
      </c>
      <c r="K13" s="6">
        <v>1</v>
      </c>
    </row>
    <row r="14" spans="1:11">
      <c r="A14" s="4" t="s">
        <v>37</v>
      </c>
      <c r="B14" s="4" t="s">
        <v>50</v>
      </c>
      <c r="C14" s="4" t="s">
        <v>80</v>
      </c>
      <c r="D14" s="4" t="s">
        <v>11</v>
      </c>
      <c r="E14" s="4">
        <v>1</v>
      </c>
      <c r="F14" s="4" t="s">
        <v>78</v>
      </c>
      <c r="G14" s="4">
        <v>0</v>
      </c>
      <c r="H14" s="4" t="s">
        <v>85</v>
      </c>
      <c r="I14" s="4">
        <v>2.2999999999999998</v>
      </c>
      <c r="J14" s="4" t="s">
        <v>148</v>
      </c>
      <c r="K14" s="6">
        <v>3</v>
      </c>
    </row>
    <row r="15" spans="1:11">
      <c r="A15" s="4" t="s">
        <v>37</v>
      </c>
      <c r="B15" s="4" t="s">
        <v>50</v>
      </c>
      <c r="C15" s="4" t="s">
        <v>88</v>
      </c>
      <c r="D15" s="4" t="s">
        <v>11</v>
      </c>
      <c r="E15" s="4">
        <v>1</v>
      </c>
      <c r="F15" s="4" t="s">
        <v>78</v>
      </c>
      <c r="G15" s="4">
        <v>0</v>
      </c>
      <c r="H15" s="4" t="s">
        <v>85</v>
      </c>
      <c r="I15" s="4">
        <v>15.5</v>
      </c>
      <c r="J15" s="4">
        <v>0.68799999999999994</v>
      </c>
      <c r="K15" s="6">
        <v>2</v>
      </c>
    </row>
    <row r="16" spans="1:11">
      <c r="A16" s="3" t="s">
        <v>37</v>
      </c>
      <c r="B16" s="4" t="s">
        <v>50</v>
      </c>
      <c r="C16" s="4" t="s">
        <v>51</v>
      </c>
      <c r="D16" s="4" t="s">
        <v>11</v>
      </c>
      <c r="E16" s="4">
        <v>1</v>
      </c>
      <c r="F16" s="4" t="s">
        <v>78</v>
      </c>
      <c r="G16" s="4">
        <v>0</v>
      </c>
      <c r="H16" s="4" t="s">
        <v>85</v>
      </c>
      <c r="I16" s="4">
        <v>9.6</v>
      </c>
      <c r="J16" s="4">
        <v>1.0449999999999999</v>
      </c>
      <c r="K16" s="6">
        <v>2</v>
      </c>
    </row>
    <row r="17" spans="1:12">
      <c r="A17" s="4" t="s">
        <v>37</v>
      </c>
      <c r="B17" s="4" t="s">
        <v>50</v>
      </c>
      <c r="C17" s="4" t="s">
        <v>52</v>
      </c>
      <c r="D17" s="4" t="s">
        <v>11</v>
      </c>
      <c r="E17" s="4">
        <v>1</v>
      </c>
      <c r="F17" s="4" t="s">
        <v>78</v>
      </c>
      <c r="G17" s="4">
        <v>0</v>
      </c>
      <c r="H17" s="4" t="s">
        <v>85</v>
      </c>
      <c r="I17" s="4">
        <v>7.8</v>
      </c>
      <c r="J17" s="4">
        <v>0.6</v>
      </c>
      <c r="K17" s="6">
        <v>2</v>
      </c>
      <c r="L17" s="13"/>
    </row>
    <row r="18" spans="1:12">
      <c r="A18" s="4" t="s">
        <v>37</v>
      </c>
      <c r="B18" s="4" t="s">
        <v>50</v>
      </c>
      <c r="C18" s="4" t="s">
        <v>53</v>
      </c>
      <c r="D18" s="4" t="s">
        <v>11</v>
      </c>
      <c r="E18" s="4">
        <v>1</v>
      </c>
      <c r="F18" s="4" t="s">
        <v>78</v>
      </c>
      <c r="G18" s="4">
        <v>0</v>
      </c>
      <c r="H18" s="4" t="s">
        <v>85</v>
      </c>
      <c r="I18" s="4">
        <v>2.2999999999999998</v>
      </c>
      <c r="J18" s="4">
        <v>0.82199999999999995</v>
      </c>
      <c r="K18" s="6">
        <v>1</v>
      </c>
    </row>
    <row r="19" spans="1:12">
      <c r="A19" s="3" t="s">
        <v>37</v>
      </c>
      <c r="B19" s="4" t="s">
        <v>59</v>
      </c>
      <c r="C19" s="4" t="s">
        <v>60</v>
      </c>
      <c r="D19" s="4" t="s">
        <v>11</v>
      </c>
      <c r="E19" s="4">
        <v>1</v>
      </c>
      <c r="F19" s="4" t="s">
        <v>78</v>
      </c>
      <c r="G19" s="4">
        <v>0</v>
      </c>
      <c r="H19" s="4" t="s">
        <v>85</v>
      </c>
      <c r="I19" s="4">
        <v>30</v>
      </c>
      <c r="J19" s="4">
        <v>0.747</v>
      </c>
      <c r="K19" s="6">
        <v>1</v>
      </c>
    </row>
    <row r="20" spans="1:12">
      <c r="A20" s="4" t="s">
        <v>37</v>
      </c>
      <c r="B20" s="4" t="s">
        <v>59</v>
      </c>
      <c r="C20" s="4" t="s">
        <v>61</v>
      </c>
      <c r="D20" s="4" t="s">
        <v>11</v>
      </c>
      <c r="E20" s="4">
        <v>1</v>
      </c>
      <c r="F20" s="4" t="s">
        <v>78</v>
      </c>
      <c r="G20" s="4">
        <v>0</v>
      </c>
      <c r="H20" s="4" t="s">
        <v>85</v>
      </c>
      <c r="I20" s="4">
        <v>17.3</v>
      </c>
      <c r="J20" s="11">
        <v>0.66300000000000003</v>
      </c>
      <c r="K20" s="6">
        <v>1</v>
      </c>
    </row>
    <row r="21" spans="1:12">
      <c r="A21" s="4" t="s">
        <v>37</v>
      </c>
      <c r="B21" s="4" t="s">
        <v>59</v>
      </c>
      <c r="C21" s="4" t="s">
        <v>62</v>
      </c>
      <c r="D21" s="4" t="s">
        <v>11</v>
      </c>
      <c r="E21" s="4">
        <v>1</v>
      </c>
      <c r="F21" s="4" t="s">
        <v>78</v>
      </c>
      <c r="G21" s="4">
        <v>0</v>
      </c>
      <c r="H21" s="4" t="s">
        <v>85</v>
      </c>
      <c r="I21" s="4">
        <v>24.3</v>
      </c>
      <c r="J21" s="4">
        <v>0.65200000000000002</v>
      </c>
      <c r="K21" s="6">
        <v>1</v>
      </c>
    </row>
    <row r="22" spans="1:12">
      <c r="A22" s="3" t="s">
        <v>37</v>
      </c>
      <c r="B22" s="4" t="s">
        <v>59</v>
      </c>
      <c r="C22" s="4" t="s">
        <v>63</v>
      </c>
      <c r="D22" s="4" t="s">
        <v>11</v>
      </c>
      <c r="E22" s="4">
        <v>1</v>
      </c>
      <c r="F22" s="4" t="s">
        <v>78</v>
      </c>
      <c r="G22" s="4">
        <v>0</v>
      </c>
      <c r="H22" s="4" t="s">
        <v>85</v>
      </c>
      <c r="I22" s="4">
        <v>18</v>
      </c>
      <c r="J22" s="4">
        <v>0.61299999999999999</v>
      </c>
      <c r="K22" s="6">
        <v>3</v>
      </c>
    </row>
    <row r="23" spans="1:12">
      <c r="A23" s="3" t="s">
        <v>37</v>
      </c>
      <c r="B23" s="4" t="s">
        <v>59</v>
      </c>
      <c r="C23" s="4" t="s">
        <v>64</v>
      </c>
      <c r="D23" s="4" t="s">
        <v>11</v>
      </c>
      <c r="E23" s="4">
        <v>1</v>
      </c>
      <c r="F23" s="4" t="s">
        <v>78</v>
      </c>
      <c r="G23" s="4">
        <v>0</v>
      </c>
      <c r="H23" s="4" t="s">
        <v>85</v>
      </c>
      <c r="I23" s="4">
        <v>9.9</v>
      </c>
      <c r="J23" s="11">
        <v>0.69</v>
      </c>
      <c r="K23" s="6">
        <v>1</v>
      </c>
    </row>
    <row r="24" spans="1:12">
      <c r="A24" s="4" t="s">
        <v>37</v>
      </c>
      <c r="B24" s="4" t="s">
        <v>59</v>
      </c>
      <c r="C24" s="4" t="s">
        <v>65</v>
      </c>
      <c r="D24" s="4" t="s">
        <v>11</v>
      </c>
      <c r="E24" s="4">
        <v>1</v>
      </c>
      <c r="F24" s="4" t="s">
        <v>78</v>
      </c>
      <c r="G24" s="4">
        <v>0</v>
      </c>
      <c r="H24" s="4" t="s">
        <v>85</v>
      </c>
      <c r="I24" s="4">
        <v>29.6</v>
      </c>
      <c r="J24" s="4" t="s">
        <v>148</v>
      </c>
      <c r="K24" s="6">
        <v>2</v>
      </c>
    </row>
    <row r="25" spans="1:12">
      <c r="A25" s="4" t="s">
        <v>37</v>
      </c>
      <c r="B25" s="4" t="s">
        <v>59</v>
      </c>
      <c r="C25" s="4" t="s">
        <v>66</v>
      </c>
      <c r="D25" s="4" t="s">
        <v>11</v>
      </c>
      <c r="E25" s="4">
        <v>1</v>
      </c>
      <c r="F25" s="4" t="s">
        <v>78</v>
      </c>
      <c r="G25" s="4">
        <v>0</v>
      </c>
      <c r="H25" s="4" t="s">
        <v>85</v>
      </c>
      <c r="I25" s="4">
        <v>14.8</v>
      </c>
      <c r="J25" s="4">
        <v>0.72</v>
      </c>
      <c r="K25" s="6">
        <v>2</v>
      </c>
    </row>
    <row r="26" spans="1:12" s="5" customFormat="1">
      <c r="A26" s="4" t="s">
        <v>37</v>
      </c>
      <c r="B26" s="4" t="s">
        <v>59</v>
      </c>
      <c r="C26" s="4" t="s">
        <v>67</v>
      </c>
      <c r="D26" s="4" t="s">
        <v>11</v>
      </c>
      <c r="E26" s="4">
        <v>1</v>
      </c>
      <c r="F26" s="4" t="s">
        <v>78</v>
      </c>
      <c r="G26" s="4">
        <v>0</v>
      </c>
      <c r="H26" s="4" t="s">
        <v>85</v>
      </c>
      <c r="I26" s="4">
        <v>15</v>
      </c>
      <c r="J26" s="4">
        <v>0.61399999999999999</v>
      </c>
      <c r="K26" s="6">
        <v>2</v>
      </c>
      <c r="L26" s="4"/>
    </row>
    <row r="27" spans="1:12" s="5" customFormat="1">
      <c r="A27" s="3" t="s">
        <v>37</v>
      </c>
      <c r="B27" s="4" t="s">
        <v>69</v>
      </c>
      <c r="C27" s="4" t="s">
        <v>70</v>
      </c>
      <c r="D27" s="4" t="s">
        <v>11</v>
      </c>
      <c r="E27" s="4">
        <v>1</v>
      </c>
      <c r="F27" s="4" t="s">
        <v>78</v>
      </c>
      <c r="G27" s="4">
        <v>0</v>
      </c>
      <c r="H27" s="4" t="s">
        <v>85</v>
      </c>
      <c r="I27" s="4">
        <v>3.5</v>
      </c>
      <c r="J27" s="4">
        <v>1.069</v>
      </c>
      <c r="K27" s="1">
        <v>1</v>
      </c>
      <c r="L27" s="4"/>
    </row>
    <row r="28" spans="1:12" s="5" customFormat="1">
      <c r="A28" s="3" t="s">
        <v>37</v>
      </c>
      <c r="B28" s="4" t="s">
        <v>69</v>
      </c>
      <c r="C28" s="4" t="s">
        <v>72</v>
      </c>
      <c r="D28" s="4" t="s">
        <v>11</v>
      </c>
      <c r="E28" s="4">
        <v>1</v>
      </c>
      <c r="F28" s="4" t="s">
        <v>78</v>
      </c>
      <c r="G28" s="4">
        <v>0</v>
      </c>
      <c r="H28" s="4" t="s">
        <v>85</v>
      </c>
      <c r="I28" s="4">
        <v>14.6</v>
      </c>
      <c r="J28" s="4">
        <v>1.5229999999999999</v>
      </c>
      <c r="K28" s="6">
        <v>1</v>
      </c>
      <c r="L28" s="4"/>
    </row>
    <row r="29" spans="1:12">
      <c r="K29" s="6"/>
    </row>
    <row r="30" spans="1:12">
      <c r="K30" s="6"/>
    </row>
  </sheetData>
  <sortState xmlns:xlrd2="http://schemas.microsoft.com/office/spreadsheetml/2017/richdata2" ref="A2:I28">
    <sortCondition ref="A2:A28"/>
    <sortCondition ref="B2:B28"/>
    <sortCondition ref="C2:C28"/>
  </sortState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all_data</vt:lpstr>
      <vt:lpstr>entire_colony</vt:lpstr>
      <vt:lpstr>all_excluded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さあき</dc:creator>
  <cp:lastModifiedBy>佐藤　耀弥</cp:lastModifiedBy>
  <dcterms:created xsi:type="dcterms:W3CDTF">2015-06-05T18:19:34Z</dcterms:created>
  <dcterms:modified xsi:type="dcterms:W3CDTF">2025-12-01T05:25:11Z</dcterms:modified>
</cp:coreProperties>
</file>